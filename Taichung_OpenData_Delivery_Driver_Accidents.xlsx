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Catalog" sheetId="1" state="visible" r:id="rId1"/>
    <sheet name="Trend &amp; Statistical Analysis" sheetId="2" state="visible" r:id="rId2"/>
    <sheet name="Quarterly Standardized Data" sheetId="3" state="visible" r:id="rId3"/>
    <sheet name="Raw Dataset Records" sheetId="4" state="visible" r:id="rId4"/>
  </sheets>
  <definedNames>
    <definedName name="_xlnm._FilterDatabase" localSheetId="0" hidden="1">'Dataset Catalog'!$A$4:$S$21</definedName>
    <definedName name="_xlnm._FilterDatabase" localSheetId="1" hidden="1">'Trend &amp; Statistical Analysis'!$A$4:$L$20</definedName>
    <definedName name="_xlnm._FilterDatabase" localSheetId="2" hidden="1">'Quarterly Standardized Data'!$A$4:$P$68</definedName>
    <definedName name="_xlnm._FilterDatabase" localSheetId="3" hidden="1">'Raw Dataset Records'!$A$4:$N$84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000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0"/>
    </font>
    <font>
      <name val="Segoe UI"/>
      <color rgb="00000000"/>
      <sz val="10"/>
    </font>
    <font>
      <name val="Segoe UI"/>
      <color rgb="000563C1"/>
      <sz val="10"/>
      <u val="single"/>
    </font>
    <font>
      <name val="Segoe UI"/>
      <b val="1"/>
      <color rgb="009C0006"/>
      <sz val="10"/>
    </font>
    <font>
      <name val="Segoe U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9FA"/>
        <bgColor rgb="00F8F9FA"/>
      </patternFill>
    </fill>
    <fill>
      <patternFill patternType="solid">
        <fgColor rgb="00FFEB9C"/>
        <bgColor rgb="00FFEB9C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4" borderId="2" applyAlignment="1" pivotButton="0" quotePrefix="0" xfId="0">
      <alignment horizontal="center" vertical="center"/>
    </xf>
    <xf numFmtId="3" fontId="6" fillId="4" borderId="2" applyAlignment="1" pivotButton="0" quotePrefix="0" xfId="0">
      <alignment horizontal="right" vertical="center"/>
    </xf>
    <xf numFmtId="164" fontId="6" fillId="4" borderId="2" applyAlignment="1" pivotButton="0" quotePrefix="0" xfId="0">
      <alignment horizontal="right" vertical="center"/>
    </xf>
    <xf numFmtId="3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right" vertical="center"/>
    </xf>
    <xf numFmtId="165" fontId="4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Quarterly Delivery Driver Traffic Accidents by Category (Taichung City)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 &amp; Statistical Analysis'!F4</f>
            </strRef>
          </tx>
          <spPr>
            <a:ln>
              <a:prstDash val="solid"/>
            </a:ln>
          </spPr>
          <cat>
            <numRef>
              <f>'Trend &amp; Statistical Analysis'!$A$5:$A$20</f>
            </numRef>
          </cat>
          <val>
            <numRef>
              <f>'Trend &amp; Statistical Analysis'!$F$5:$F$20</f>
            </numRef>
          </val>
        </ser>
        <ser>
          <idx val="1"/>
          <order val="1"/>
          <tx>
            <strRef>
              <f>'Trend &amp; Statistical Analysis'!G4</f>
            </strRef>
          </tx>
          <spPr>
            <a:ln>
              <a:prstDash val="solid"/>
            </a:ln>
          </spPr>
          <cat>
            <numRef>
              <f>'Trend &amp; Statistical Analysis'!$A$5:$A$20</f>
            </numRef>
          </cat>
          <val>
            <numRef>
              <f>'Trend &amp; Statistical Analysis'!$G$5:$G$20</f>
            </numRef>
          </val>
        </ser>
        <ser>
          <idx val="2"/>
          <order val="2"/>
          <tx>
            <strRef>
              <f>'Trend &amp; Statistical Analysis'!H4</f>
            </strRef>
          </tx>
          <spPr>
            <a:ln>
              <a:prstDash val="solid"/>
            </a:ln>
          </spPr>
          <cat>
            <numRef>
              <f>'Trend &amp; Statistical Analysis'!$A$5:$A$20</f>
            </numRef>
          </cat>
          <val>
            <numRef>
              <f>'Trend &amp; Statistical Analysis'!$H$5:$H$20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Quarterly Period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Number of Incidents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22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opendata.taichung.gov.tw/dataset/20238ddd-628e-48eb-818f-d02bf69bca39" TargetMode="External" Id="rId1" /><Relationship Type="http://schemas.openxmlformats.org/officeDocument/2006/relationships/hyperlink" Target="https://opendata.taichung.gov.tw/dataset/a43b62c7-0aff-4827-a957-46c2a58eaa6b" TargetMode="External" Id="rId2" /><Relationship Type="http://schemas.openxmlformats.org/officeDocument/2006/relationships/hyperlink" Target="https://opendata.taichung.gov.tw/dataset/f6559da6-511f-4d8c-b33d-47e6faed1574" TargetMode="External" Id="rId3" /><Relationship Type="http://schemas.openxmlformats.org/officeDocument/2006/relationships/hyperlink" Target="https://opendata.taichung.gov.tw/dataset/ce155bf5-b420-4f6d-86c3-ca61c03095d1" TargetMode="External" Id="rId4" /><Relationship Type="http://schemas.openxmlformats.org/officeDocument/2006/relationships/hyperlink" Target="https://opendata.taichung.gov.tw/dataset/0cb2aa2f-838b-4d09-bd08-bd90844acf74" TargetMode="External" Id="rId5" /><Relationship Type="http://schemas.openxmlformats.org/officeDocument/2006/relationships/hyperlink" Target="https://opendata.taichung.gov.tw/dataset/d4aea5c8-5913-4b1d-ad74-6c1aad5b166c" TargetMode="External" Id="rId6" /><Relationship Type="http://schemas.openxmlformats.org/officeDocument/2006/relationships/hyperlink" Target="https://opendata.taichung.gov.tw/dataset/cf7cf06b-60bf-47da-9729-0341883ed26c" TargetMode="External" Id="rId7" /><Relationship Type="http://schemas.openxmlformats.org/officeDocument/2006/relationships/hyperlink" Target="https://opendata.taichung.gov.tw/dataset/b709b391-99da-48d1-b1cf-6d4f5de70cb9" TargetMode="External" Id="rId8" /><Relationship Type="http://schemas.openxmlformats.org/officeDocument/2006/relationships/hyperlink" Target="https://opendata.taichung.gov.tw/dataset/977d1f0c-3552-4a69-a68f-6b12bb6c7c79" TargetMode="External" Id="rId9" /><Relationship Type="http://schemas.openxmlformats.org/officeDocument/2006/relationships/hyperlink" Target="https://opendata.taichung.gov.tw/dataset/c3d7c48c-4c27-45e0-b82e-9d91fd657b7a" TargetMode="External" Id="rId10" /><Relationship Type="http://schemas.openxmlformats.org/officeDocument/2006/relationships/hyperlink" Target="https://opendata.taichung.gov.tw/dataset/b41e113f-e480-4d9d-9ccd-18ce5f9e3c71" TargetMode="External" Id="rId11" /><Relationship Type="http://schemas.openxmlformats.org/officeDocument/2006/relationships/hyperlink" Target="https://opendata.taichung.gov.tw/dataset/a7b714cd-6b6b-4726-9949-f56a7a503d19" TargetMode="External" Id="rId12" /><Relationship Type="http://schemas.openxmlformats.org/officeDocument/2006/relationships/hyperlink" Target="https://opendata.taichung.gov.tw/dataset/14222666-180a-4bf0-bf7e-f8bdf4def18c" TargetMode="External" Id="rId13" /><Relationship Type="http://schemas.openxmlformats.org/officeDocument/2006/relationships/hyperlink" Target="https://opendata.taichung.gov.tw/dataset/ffd48cfb-e697-4af8-bea5-159832e961ca" TargetMode="External" Id="rId14" /><Relationship Type="http://schemas.openxmlformats.org/officeDocument/2006/relationships/hyperlink" Target="https://opendata.taichung.gov.tw/dataset/b38b99b1-394b-4ebd-8536-6f9ec7cd4063" TargetMode="External" Id="rId15" /><Relationship Type="http://schemas.openxmlformats.org/officeDocument/2006/relationships/hyperlink" Target="https://opendata.taichung.gov.tw/dataset/5f6a6be8-63d4-456f-992f-b7245a851025" TargetMode="External" Id="rId16" /><Relationship Type="http://schemas.openxmlformats.org/officeDocument/2006/relationships/hyperlink" Target="https://opendata.taichung.gov.tw/dataset/be7ac5ea-d63c-44c7-844f-b393774fa49d" TargetMode="External" Id="rId17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44" customWidth="1" min="2" max="2"/>
    <col width="36" customWidth="1" min="3" max="3"/>
    <col width="38" customWidth="1" min="4" max="4"/>
    <col width="45" customWidth="1" min="5" max="5"/>
    <col width="30" customWidth="1" min="6" max="6"/>
    <col width="22" customWidth="1" min="7" max="7"/>
    <col width="14" customWidth="1" min="8" max="8"/>
    <col width="16" customWidth="1" min="9" max="9"/>
    <col width="14" customWidth="1" min="10" max="10"/>
    <col width="12" customWidth="1" min="11" max="11"/>
    <col width="14" customWidth="1" min="12" max="12"/>
    <col width="14" customWidth="1" min="13" max="13"/>
    <col width="20" customWidth="1" min="14" max="14"/>
    <col width="48" customWidth="1" min="15" max="15"/>
    <col width="14" customWidth="1" min="16" max="16"/>
    <col width="18" customWidth="1" min="17" max="17"/>
    <col width="24" customWidth="1" min="18" max="18"/>
    <col width="18" customWidth="1" min="19" max="19"/>
  </cols>
  <sheetData>
    <row r="1" ht="28" customHeight="1">
      <c r="A1" s="1" t="inlineStr">
        <is>
          <t>Taichung City Open Data Platform - Delivery Driver Traffic Accident Datasets Catalog</t>
        </is>
      </c>
    </row>
    <row r="2" ht="18" customHeight="1">
      <c r="A2" s="2" t="inlineStr">
        <is>
          <t>Source Query: '外送' (Delivery) on https://opendata.taichung.gov.tw/search?q=%E5%A4%96%E9%80%81 | Total 17 Datasets Retrieved</t>
        </is>
      </c>
    </row>
    <row r="4" ht="28" customHeight="1">
      <c r="A4" s="3" t="inlineStr">
        <is>
          <t>No.</t>
        </is>
      </c>
      <c r="B4" s="3" t="inlineStr">
        <is>
          <t>Dataset Title (English)</t>
        </is>
      </c>
      <c r="C4" s="3" t="inlineStr">
        <is>
          <t>Original Chinese Title</t>
        </is>
      </c>
      <c r="D4" s="3" t="inlineStr">
        <is>
          <t>Dataset ID (PID)</t>
        </is>
      </c>
      <c r="E4" s="3" t="inlineStr">
        <is>
          <t>Description</t>
        </is>
      </c>
      <c r="F4" s="3" t="inlineStr">
        <is>
          <t>Publishing Agency</t>
        </is>
      </c>
      <c r="G4" s="3" t="inlineStr">
        <is>
          <t>Category</t>
        </is>
      </c>
      <c r="H4" s="3" t="inlineStr">
        <is>
          <t>Update Freq.</t>
        </is>
      </c>
      <c r="I4" s="3" t="inlineStr">
        <is>
          <t>License</t>
        </is>
      </c>
      <c r="J4" s="3" t="inlineStr">
        <is>
          <t>File Formats</t>
        </is>
      </c>
      <c r="K4" s="3" t="inlineStr">
        <is>
          <t>View Count</t>
        </is>
      </c>
      <c r="L4" s="3" t="inlineStr">
        <is>
          <t>Download Count</t>
        </is>
      </c>
      <c r="M4" s="3" t="inlineStr">
        <is>
          <t>Publish Date</t>
        </is>
      </c>
      <c r="N4" s="3" t="inlineStr">
        <is>
          <t>Last Modified</t>
        </is>
      </c>
      <c r="O4" s="3" t="inlineStr">
        <is>
          <t>Field Specifications</t>
        </is>
      </c>
      <c r="P4" s="3" t="inlineStr">
        <is>
          <t>Contact Person</t>
        </is>
      </c>
      <c r="Q4" s="3" t="inlineStr">
        <is>
          <t>Contact Phone</t>
        </is>
      </c>
      <c r="R4" s="3" t="inlineStr">
        <is>
          <t>Contact Email</t>
        </is>
      </c>
      <c r="S4" s="3" t="inlineStr">
        <is>
          <t>Portal Page Link</t>
        </is>
      </c>
    </row>
    <row r="5" ht="24" customHeight="1">
      <c r="A5" s="4" t="n">
        <v>1</v>
      </c>
      <c r="B5" s="5" t="inlineStr">
        <is>
          <t>Taichung City Delivery Driver Traffic Accident Statistics - 2025 Q4 (ROC 114)</t>
        </is>
      </c>
      <c r="C5" s="5" t="inlineStr">
        <is>
          <t>114年第四季臺中市外送員交通事故統計</t>
        </is>
      </c>
      <c r="D5" s="6" t="inlineStr">
        <is>
          <t>20238ddd-628e-48eb-818f-d02bf69bca39</t>
        </is>
      </c>
      <c r="E5" s="5" t="inlineStr">
        <is>
          <t>Statistical table of traffic accidents involving delivery platform drivers in Taichung City</t>
        </is>
      </c>
      <c r="F5" s="6" t="inlineStr">
        <is>
          <t>Taichung City Police Department</t>
        </is>
      </c>
      <c r="G5" s="6" t="inlineStr">
        <is>
          <t>Transportation &amp; Comm.</t>
        </is>
      </c>
      <c r="H5" s="6" t="inlineStr">
        <is>
          <t>Quarterly</t>
        </is>
      </c>
      <c r="I5" s="6" t="inlineStr">
        <is>
          <t>OGDL-Taiwan-1.0</t>
        </is>
      </c>
      <c r="J5" s="6" t="inlineStr"/>
      <c r="K5" s="7" t="n">
        <v>413</v>
      </c>
      <c r="L5" s="7" t="n">
        <v>9</v>
      </c>
      <c r="M5" s="6" t="inlineStr">
        <is>
          <t>2026-01-14</t>
        </is>
      </c>
      <c r="N5" s="6" t="inlineStr">
        <is>
          <t>2026-01-14 17:05:16</t>
        </is>
      </c>
      <c r="O5" s="5" t="inlineStr">
        <is>
          <t>Item No., City Code, Telephone, Category, Incidents, Fatalities, Injuries</t>
        </is>
      </c>
      <c r="P5" s="6" t="inlineStr">
        <is>
          <t>施勝民</t>
        </is>
      </c>
      <c r="Q5" s="6" t="inlineStr">
        <is>
          <t>04-23274275</t>
        </is>
      </c>
      <c r="R5" s="5" t="inlineStr">
        <is>
          <t>randy@tcpb.gov.tw</t>
        </is>
      </c>
      <c r="S5" s="8" t="inlineStr">
        <is>
          <t>Open Dataset Page</t>
        </is>
      </c>
    </row>
    <row r="6" ht="24" customHeight="1">
      <c r="A6" s="9" t="n">
        <v>2</v>
      </c>
      <c r="B6" s="10" t="inlineStr">
        <is>
          <t>Taichung City Delivery Driver Traffic Accident Statistics - 2025 Q3 (ROC 114)</t>
        </is>
      </c>
      <c r="C6" s="10" t="inlineStr">
        <is>
          <t>114年第三季臺中市外送員交通事故統計</t>
        </is>
      </c>
      <c r="D6" s="11" t="inlineStr">
        <is>
          <t>a43b62c7-0aff-4827-a957-46c2a58eaa6b</t>
        </is>
      </c>
      <c r="E6" s="10" t="inlineStr">
        <is>
          <t>Statistical table of traffic accidents involving delivery platform drivers in Taichung City</t>
        </is>
      </c>
      <c r="F6" s="11" t="inlineStr">
        <is>
          <t>Taichung City Police Department</t>
        </is>
      </c>
      <c r="G6" s="11" t="inlineStr">
        <is>
          <t>Transportation &amp; Comm.</t>
        </is>
      </c>
      <c r="H6" s="11" t="inlineStr">
        <is>
          <t>Quarterly</t>
        </is>
      </c>
      <c r="I6" s="11" t="inlineStr">
        <is>
          <t>OGDL-Taiwan-1.0</t>
        </is>
      </c>
      <c r="J6" s="11" t="inlineStr"/>
      <c r="K6" s="12" t="n">
        <v>380</v>
      </c>
      <c r="L6" s="12" t="n">
        <v>8</v>
      </c>
      <c r="M6" s="11" t="inlineStr">
        <is>
          <t>2025-12-05</t>
        </is>
      </c>
      <c r="N6" s="11" t="inlineStr">
        <is>
          <t>2025-12-05 15:33:15</t>
        </is>
      </c>
      <c r="O6" s="10" t="inlineStr">
        <is>
          <t>Item No., City Code, Telephone, Category, Incidents, Fatalities, Injuries</t>
        </is>
      </c>
      <c r="P6" s="11" t="inlineStr">
        <is>
          <t>施勝民</t>
        </is>
      </c>
      <c r="Q6" s="11" t="inlineStr">
        <is>
          <t>(04)23272933</t>
        </is>
      </c>
      <c r="R6" s="10" t="inlineStr">
        <is>
          <t>randy@tcpb.gov.tw</t>
        </is>
      </c>
      <c r="S6" s="13" t="inlineStr">
        <is>
          <t>Open Dataset Page</t>
        </is>
      </c>
    </row>
    <row r="7" ht="24" customHeight="1">
      <c r="A7" s="4" t="n">
        <v>3</v>
      </c>
      <c r="B7" s="5" t="inlineStr">
        <is>
          <t>Taichung City Delivery Driver Traffic Accident Statistics - 2025 Q2 (ROC 114)</t>
        </is>
      </c>
      <c r="C7" s="5" t="inlineStr">
        <is>
          <t>114年第二季臺中市外送員交通事故統計</t>
        </is>
      </c>
      <c r="D7" s="6" t="inlineStr">
        <is>
          <t>f6559da6-511f-4d8c-b33d-47e6faed1574</t>
        </is>
      </c>
      <c r="E7" s="5" t="inlineStr">
        <is>
          <t>Statistical table of traffic accidents involving delivery platform drivers in Taichung City</t>
        </is>
      </c>
      <c r="F7" s="6" t="inlineStr">
        <is>
          <t>Taichung City Police Department</t>
        </is>
      </c>
      <c r="G7" s="6" t="inlineStr">
        <is>
          <t>Transportation &amp; Comm.</t>
        </is>
      </c>
      <c r="H7" s="6" t="inlineStr">
        <is>
          <t>Quarterly</t>
        </is>
      </c>
      <c r="I7" s="6" t="inlineStr">
        <is>
          <t>OGDL-Taiwan-1.0</t>
        </is>
      </c>
      <c r="J7" s="6" t="inlineStr"/>
      <c r="K7" s="7" t="n">
        <v>521</v>
      </c>
      <c r="L7" s="7" t="n">
        <v>3</v>
      </c>
      <c r="M7" s="6" t="inlineStr">
        <is>
          <t>2025-12-05</t>
        </is>
      </c>
      <c r="N7" s="6" t="inlineStr">
        <is>
          <t>2025-12-05 15:33:13</t>
        </is>
      </c>
      <c r="O7" s="5" t="inlineStr">
        <is>
          <t>Item No., City Code, Telephone, Category, Incidents, Fatalities, Injuries</t>
        </is>
      </c>
      <c r="P7" s="6" t="inlineStr">
        <is>
          <t>施勝民</t>
        </is>
      </c>
      <c r="Q7" s="6" t="inlineStr">
        <is>
          <t>(04)23272933</t>
        </is>
      </c>
      <c r="R7" s="5" t="inlineStr">
        <is>
          <t>randy@tcpb.gov.tw</t>
        </is>
      </c>
      <c r="S7" s="8" t="inlineStr">
        <is>
          <t>Open Dataset Page</t>
        </is>
      </c>
    </row>
    <row r="8" ht="24" customHeight="1">
      <c r="A8" s="9" t="n">
        <v>4</v>
      </c>
      <c r="B8" s="10" t="inlineStr">
        <is>
          <t>Taichung City Delivery Driver Traffic Accident Statistics - 2022 Q4 (ROC 111)</t>
        </is>
      </c>
      <c r="C8" s="10" t="inlineStr">
        <is>
          <t>111年第四季臺中市外送員交通事故統計</t>
        </is>
      </c>
      <c r="D8" s="11" t="inlineStr">
        <is>
          <t>ce155bf5-b420-4f6d-86c3-ca61c03095d1</t>
        </is>
      </c>
      <c r="E8" s="10" t="inlineStr">
        <is>
          <t>Statistical table of traffic accidents involving delivery platform drivers in Taichung City</t>
        </is>
      </c>
      <c r="F8" s="11" t="inlineStr">
        <is>
          <t>Taichung City Police Department</t>
        </is>
      </c>
      <c r="G8" s="11" t="inlineStr">
        <is>
          <t>Transportation &amp; Comm.</t>
        </is>
      </c>
      <c r="H8" s="11" t="inlineStr">
        <is>
          <t>Quarterly</t>
        </is>
      </c>
      <c r="I8" s="11" t="inlineStr">
        <is>
          <t>OGDL-Taiwan-1.0</t>
        </is>
      </c>
      <c r="J8" s="11" t="inlineStr"/>
      <c r="K8" s="12" t="n">
        <v>1132</v>
      </c>
      <c r="L8" s="12" t="n">
        <v>28</v>
      </c>
      <c r="M8" s="11" t="inlineStr">
        <is>
          <t>2023-01-13</t>
        </is>
      </c>
      <c r="N8" s="11" t="inlineStr">
        <is>
          <t>2026-08-03 15:34:30</t>
        </is>
      </c>
      <c r="O8" s="10" t="inlineStr">
        <is>
          <t>City Code, 111年10月01日至111年12月31日, Incidents, Fatalities, Injuries</t>
        </is>
      </c>
      <c r="P8" s="11" t="inlineStr">
        <is>
          <t>施勝民</t>
        </is>
      </c>
      <c r="Q8" s="11" t="inlineStr">
        <is>
          <t>0423272933</t>
        </is>
      </c>
      <c r="R8" s="10" t="inlineStr">
        <is>
          <t>t120085@taichung.gov.tw</t>
        </is>
      </c>
      <c r="S8" s="13" t="inlineStr">
        <is>
          <t>Open Dataset Page</t>
        </is>
      </c>
    </row>
    <row r="9" ht="24" customHeight="1">
      <c r="A9" s="4" t="n">
        <v>5</v>
      </c>
      <c r="B9" s="5" t="inlineStr">
        <is>
          <t>Taichung City Delivery Driver Traffic Accident Statistics - 2023 Q1 (ROC 112)</t>
        </is>
      </c>
      <c r="C9" s="5" t="inlineStr">
        <is>
          <t>112年第一季臺中市外送員交通事故統計</t>
        </is>
      </c>
      <c r="D9" s="6" t="inlineStr">
        <is>
          <t>0cb2aa2f-838b-4d09-bd08-bd90844acf74</t>
        </is>
      </c>
      <c r="E9" s="5" t="inlineStr">
        <is>
          <t>Statistical table of traffic accidents involving delivery platform drivers in Taichung City</t>
        </is>
      </c>
      <c r="F9" s="6" t="inlineStr">
        <is>
          <t>Taichung City Police Department</t>
        </is>
      </c>
      <c r="G9" s="6" t="inlineStr">
        <is>
          <t>Transportation &amp; Comm.</t>
        </is>
      </c>
      <c r="H9" s="6" t="inlineStr">
        <is>
          <t>Quarterly</t>
        </is>
      </c>
      <c r="I9" s="6" t="inlineStr">
        <is>
          <t>OGDL-Taiwan-1.0</t>
        </is>
      </c>
      <c r="J9" s="6" t="inlineStr"/>
      <c r="K9" s="7" t="n">
        <v>779</v>
      </c>
      <c r="L9" s="7" t="n">
        <v>109</v>
      </c>
      <c r="M9" s="6" t="inlineStr">
        <is>
          <t>2023-05-10</t>
        </is>
      </c>
      <c r="N9" s="6" t="inlineStr">
        <is>
          <t>2026-08-03 15:34:28</t>
        </is>
      </c>
      <c r="O9" s="5" t="inlineStr">
        <is>
          <t>City Code, 112年01月01日至112年03月31日, Incidents, Fatalities, Injuries</t>
        </is>
      </c>
      <c r="P9" s="6" t="inlineStr">
        <is>
          <t>施勝民</t>
        </is>
      </c>
      <c r="Q9" s="6" t="inlineStr">
        <is>
          <t>0423272933</t>
        </is>
      </c>
      <c r="R9" s="5" t="inlineStr">
        <is>
          <t>t120085@taichung.gov.tw</t>
        </is>
      </c>
      <c r="S9" s="8" t="inlineStr">
        <is>
          <t>Open Dataset Page</t>
        </is>
      </c>
    </row>
    <row r="10" ht="24" customHeight="1">
      <c r="A10" s="9" t="n">
        <v>6</v>
      </c>
      <c r="B10" s="10" t="inlineStr">
        <is>
          <t>Taichung City Delivery Driver Traffic Accident Statistics - 2026 Q2 (ROC 115)</t>
        </is>
      </c>
      <c r="C10" s="10" t="inlineStr">
        <is>
          <t>115年第二季臺中市外送員交通事故統計</t>
        </is>
      </c>
      <c r="D10" s="11" t="inlineStr">
        <is>
          <t>d4aea5c8-5913-4b1d-ad74-6c1aad5b166c</t>
        </is>
      </c>
      <c r="E10" s="10" t="inlineStr">
        <is>
          <t>Statistical table of traffic accidents involving delivery platform drivers in Taichung City</t>
        </is>
      </c>
      <c r="F10" s="11" t="inlineStr">
        <is>
          <t>Taichung City Police Department</t>
        </is>
      </c>
      <c r="G10" s="11" t="inlineStr">
        <is>
          <t>Transportation &amp; Comm.</t>
        </is>
      </c>
      <c r="H10" s="11" t="inlineStr">
        <is>
          <t>Quarterly</t>
        </is>
      </c>
      <c r="I10" s="11" t="inlineStr">
        <is>
          <t>OGDL-Taiwan-1.0</t>
        </is>
      </c>
      <c r="J10" s="11" t="inlineStr"/>
      <c r="K10" s="12" t="n">
        <v>94</v>
      </c>
      <c r="L10" s="12" t="n">
        <v>2</v>
      </c>
      <c r="M10" s="11" t="inlineStr">
        <is>
          <t>2026-07-13</t>
        </is>
      </c>
      <c r="N10" s="11" t="inlineStr">
        <is>
          <t>2026-09-08 09:21:59</t>
        </is>
      </c>
      <c r="O10" s="10" t="inlineStr">
        <is>
          <t>Item No., City Code, Telephone, Category, Incidents, Fatalities, Injuries</t>
        </is>
      </c>
      <c r="P10" s="11" t="inlineStr">
        <is>
          <t>施勝民</t>
        </is>
      </c>
      <c r="Q10" s="11" t="inlineStr">
        <is>
          <t>0423272933</t>
        </is>
      </c>
      <c r="R10" s="10" t="inlineStr">
        <is>
          <t>randy@tcpb.gov.tw</t>
        </is>
      </c>
      <c r="S10" s="13" t="inlineStr">
        <is>
          <t>Open Dataset Page</t>
        </is>
      </c>
    </row>
    <row r="11" ht="24" customHeight="1">
      <c r="A11" s="4" t="n">
        <v>7</v>
      </c>
      <c r="B11" s="5" t="inlineStr">
        <is>
          <t>Taichung City Delivery Driver Traffic Accident Statistics - 2024 Q1 (ROC 113)</t>
        </is>
      </c>
      <c r="C11" s="5" t="inlineStr">
        <is>
          <t>113年第一季臺中市外送員交通事故統計</t>
        </is>
      </c>
      <c r="D11" s="6" t="inlineStr">
        <is>
          <t>cf7cf06b-60bf-47da-9729-0341883ed26c</t>
        </is>
      </c>
      <c r="E11" s="5" t="inlineStr">
        <is>
          <t>Statistical table of traffic accidents involving delivery platform drivers in Taichung City</t>
        </is>
      </c>
      <c r="F11" s="6" t="inlineStr">
        <is>
          <t>Taichung City Police Department</t>
        </is>
      </c>
      <c r="G11" s="6" t="inlineStr">
        <is>
          <t>Transportation &amp; Comm.</t>
        </is>
      </c>
      <c r="H11" s="6" t="inlineStr">
        <is>
          <t>Quarterly</t>
        </is>
      </c>
      <c r="I11" s="6" t="inlineStr">
        <is>
          <t>OGDL-Taiwan-1.0</t>
        </is>
      </c>
      <c r="J11" s="6" t="inlineStr"/>
      <c r="K11" s="7" t="n">
        <v>744</v>
      </c>
      <c r="L11" s="7" t="n">
        <v>19</v>
      </c>
      <c r="M11" s="6" t="inlineStr">
        <is>
          <t>2024-07-15</t>
        </is>
      </c>
      <c r="N11" s="6" t="inlineStr">
        <is>
          <t>2026-03-02 08:52:43</t>
        </is>
      </c>
      <c r="O11" s="5" t="inlineStr">
        <is>
          <t>Item No., City Code, Telephone, Category, Incidents, Fatalities, Injuries</t>
        </is>
      </c>
      <c r="P11" s="6" t="inlineStr">
        <is>
          <t>施勝民</t>
        </is>
      </c>
      <c r="Q11" s="6" t="inlineStr">
        <is>
          <t>(04)23272933</t>
        </is>
      </c>
      <c r="R11" s="5" t="inlineStr">
        <is>
          <t>t120085@taichung.gov.tw</t>
        </is>
      </c>
      <c r="S11" s="8" t="inlineStr">
        <is>
          <t>Open Dataset Page</t>
        </is>
      </c>
    </row>
    <row r="12" ht="24" customHeight="1">
      <c r="A12" s="9" t="n">
        <v>8</v>
      </c>
      <c r="B12" s="10" t="inlineStr">
        <is>
          <t>Taichung City Delivery Driver Traffic Accident Statistics - 2025 Q1 (ROC 114)</t>
        </is>
      </c>
      <c r="C12" s="10" t="inlineStr">
        <is>
          <t>114年第一季臺中市外送員交通事故統計</t>
        </is>
      </c>
      <c r="D12" s="11" t="inlineStr">
        <is>
          <t>b709b391-99da-48d1-b1cf-6d4f5de70cb9</t>
        </is>
      </c>
      <c r="E12" s="10" t="inlineStr">
        <is>
          <t>Statistical table of traffic accidents involving delivery platform drivers in Taichung City</t>
        </is>
      </c>
      <c r="F12" s="11" t="inlineStr">
        <is>
          <t>Taichung City Police Department</t>
        </is>
      </c>
      <c r="G12" s="11" t="inlineStr">
        <is>
          <t>Transportation &amp; Comm.</t>
        </is>
      </c>
      <c r="H12" s="11" t="inlineStr">
        <is>
          <t>Quarterly</t>
        </is>
      </c>
      <c r="I12" s="11" t="inlineStr">
        <is>
          <t>OGDL-Taiwan-1.0</t>
        </is>
      </c>
      <c r="J12" s="11" t="inlineStr"/>
      <c r="K12" s="12" t="n">
        <v>708</v>
      </c>
      <c r="L12" s="12" t="n">
        <v>20</v>
      </c>
      <c r="M12" s="11" t="inlineStr">
        <is>
          <t>2025-04-22</t>
        </is>
      </c>
      <c r="N12" s="11" t="inlineStr">
        <is>
          <t>2026-03-02 08:52:37</t>
        </is>
      </c>
      <c r="O12" s="10" t="inlineStr">
        <is>
          <t>Item No., City Code, Telephone, Category, Incidents, Fatalities, Injuries</t>
        </is>
      </c>
      <c r="P12" s="11" t="inlineStr">
        <is>
          <t>施勝民</t>
        </is>
      </c>
      <c r="Q12" s="11" t="inlineStr">
        <is>
          <t>(04)23272933</t>
        </is>
      </c>
      <c r="R12" s="10" t="inlineStr">
        <is>
          <t>t120085@taichung.gov.tw</t>
        </is>
      </c>
      <c r="S12" s="13" t="inlineStr">
        <is>
          <t>Open Dataset Page</t>
        </is>
      </c>
    </row>
    <row r="13" ht="24" customHeight="1">
      <c r="A13" s="4" t="n">
        <v>9</v>
      </c>
      <c r="B13" s="5" t="inlineStr">
        <is>
          <t>Taichung City Delivery Driver Traffic Accident Statistics - 2022 Q3 (ROC 111)</t>
        </is>
      </c>
      <c r="C13" s="5" t="inlineStr">
        <is>
          <t>111年第三季臺中市外送員交通事故統計</t>
        </is>
      </c>
      <c r="D13" s="6" t="inlineStr">
        <is>
          <t>977d1f0c-3552-4a69-a68f-6b12bb6c7c79</t>
        </is>
      </c>
      <c r="E13" s="5" t="inlineStr">
        <is>
          <t>Statistical table of traffic accidents involving delivery platform drivers in Taichung City</t>
        </is>
      </c>
      <c r="F13" s="6" t="inlineStr">
        <is>
          <t>Taichung City Police Department</t>
        </is>
      </c>
      <c r="G13" s="6" t="inlineStr">
        <is>
          <t>Transportation &amp; Comm.</t>
        </is>
      </c>
      <c r="H13" s="6" t="inlineStr">
        <is>
          <t>Quarterly</t>
        </is>
      </c>
      <c r="I13" s="6" t="inlineStr">
        <is>
          <t>OGDL-Taiwan-1.0</t>
        </is>
      </c>
      <c r="J13" s="6" t="inlineStr"/>
      <c r="K13" s="7" t="n">
        <v>795</v>
      </c>
      <c r="L13" s="7" t="n">
        <v>15</v>
      </c>
      <c r="M13" s="6" t="inlineStr">
        <is>
          <t>2023-01-13</t>
        </is>
      </c>
      <c r="N13" s="6" t="inlineStr">
        <is>
          <t>2026-06-14 12:14:10</t>
        </is>
      </c>
      <c r="O13" s="5" t="inlineStr">
        <is>
          <t>Item No., 111年07月01日 至 111年09月30日, Incidents, Fatalities, Injuries</t>
        </is>
      </c>
      <c r="P13" s="6" t="inlineStr">
        <is>
          <t>施勝民</t>
        </is>
      </c>
      <c r="Q13" s="6" t="inlineStr">
        <is>
          <t>0423272933</t>
        </is>
      </c>
      <c r="R13" s="5" t="inlineStr">
        <is>
          <t>t120085@taichung.gov.tw</t>
        </is>
      </c>
      <c r="S13" s="8" t="inlineStr">
        <is>
          <t>Open Dataset Page</t>
        </is>
      </c>
    </row>
    <row r="14" ht="24" customHeight="1">
      <c r="A14" s="9" t="n">
        <v>10</v>
      </c>
      <c r="B14" s="10" t="inlineStr">
        <is>
          <t>Taichung City Delivery Driver Traffic Accident Statistics - 2023 Q2 (ROC 112)</t>
        </is>
      </c>
      <c r="C14" s="10" t="inlineStr">
        <is>
          <t>112年第二季臺中市外送員交通事故統計</t>
        </is>
      </c>
      <c r="D14" s="11" t="inlineStr">
        <is>
          <t>c3d7c48c-4c27-45e0-b82e-9d91fd657b7a</t>
        </is>
      </c>
      <c r="E14" s="10" t="inlineStr">
        <is>
          <t>Statistical table of traffic accidents involving delivery platform drivers in Taichung City</t>
        </is>
      </c>
      <c r="F14" s="11" t="inlineStr">
        <is>
          <t>Taichung City Police Department</t>
        </is>
      </c>
      <c r="G14" s="11" t="inlineStr">
        <is>
          <t>Transportation &amp; Comm.</t>
        </is>
      </c>
      <c r="H14" s="11" t="inlineStr">
        <is>
          <t>Quarterly</t>
        </is>
      </c>
      <c r="I14" s="11" t="inlineStr">
        <is>
          <t>OGDL-Taiwan-1.0</t>
        </is>
      </c>
      <c r="J14" s="11" t="inlineStr"/>
      <c r="K14" s="12" t="n">
        <v>1018</v>
      </c>
      <c r="L14" s="12" t="n">
        <v>42</v>
      </c>
      <c r="M14" s="11" t="inlineStr">
        <is>
          <t>2023-08-07</t>
        </is>
      </c>
      <c r="N14" s="11" t="inlineStr">
        <is>
          <t>2026-06-14 12:07:44</t>
        </is>
      </c>
      <c r="O14" s="10" t="inlineStr">
        <is>
          <t>Item No., 112年04月01日 至 112年06月30日, Incidents, Fatalities, Injuries</t>
        </is>
      </c>
      <c r="P14" s="11" t="inlineStr">
        <is>
          <t>施勝民</t>
        </is>
      </c>
      <c r="Q14" s="11" t="inlineStr">
        <is>
          <t>(04)23272933</t>
        </is>
      </c>
      <c r="R14" s="10" t="inlineStr">
        <is>
          <t>t120085@taichung.gov.tw</t>
        </is>
      </c>
      <c r="S14" s="13" t="inlineStr">
        <is>
          <t>Open Dataset Page</t>
        </is>
      </c>
    </row>
    <row r="15" ht="24" customHeight="1">
      <c r="A15" s="4" t="n">
        <v>11</v>
      </c>
      <c r="B15" s="5" t="inlineStr">
        <is>
          <t>Taichung City Delivery Driver Traffic Accident Statistics - 2026 Q1 (ROC 115)</t>
        </is>
      </c>
      <c r="C15" s="5" t="inlineStr">
        <is>
          <t>115年第一季臺中市外送員交通事故統計</t>
        </is>
      </c>
      <c r="D15" s="6" t="inlineStr">
        <is>
          <t>b41e113f-e480-4d9d-9ccd-18ce5f9e3c71</t>
        </is>
      </c>
      <c r="E15" s="5" t="inlineStr">
        <is>
          <t>Statistical table of traffic accidents involving delivery platform drivers in Taichung City</t>
        </is>
      </c>
      <c r="F15" s="6" t="inlineStr">
        <is>
          <t>Taichung City Police Department</t>
        </is>
      </c>
      <c r="G15" s="6" t="inlineStr">
        <is>
          <t>Transportation &amp; Comm.</t>
        </is>
      </c>
      <c r="H15" s="6" t="inlineStr">
        <is>
          <t>Quarterly</t>
        </is>
      </c>
      <c r="I15" s="6" t="inlineStr">
        <is>
          <t>OGDL-Taiwan-1.0</t>
        </is>
      </c>
      <c r="J15" s="6" t="inlineStr"/>
      <c r="K15" s="7" t="n">
        <v>184</v>
      </c>
      <c r="L15" s="7" t="n">
        <v>6</v>
      </c>
      <c r="M15" s="6" t="inlineStr">
        <is>
          <t>2026-04-20</t>
        </is>
      </c>
      <c r="N15" s="6" t="inlineStr">
        <is>
          <t>2026-04-20 11:14:59</t>
        </is>
      </c>
      <c r="O15" s="5" t="inlineStr">
        <is>
          <t>Item No., City Code, Telephone, Category, Incidents, Fatalities, Injuries</t>
        </is>
      </c>
      <c r="P15" s="6" t="inlineStr">
        <is>
          <t>施勝民</t>
        </is>
      </c>
      <c r="Q15" s="6" t="inlineStr">
        <is>
          <t>(04)23272933</t>
        </is>
      </c>
      <c r="R15" s="5" t="inlineStr">
        <is>
          <t>randy@tcpb.gov.tw</t>
        </is>
      </c>
      <c r="S15" s="8" t="inlineStr">
        <is>
          <t>Open Dataset Page</t>
        </is>
      </c>
    </row>
    <row r="16" ht="24" customHeight="1">
      <c r="A16" s="9" t="n">
        <v>12</v>
      </c>
      <c r="B16" s="10" t="inlineStr">
        <is>
          <t>Taichung City Delivery Driver Traffic Accident Statistics - 2023 Q3 (ROC 112)</t>
        </is>
      </c>
      <c r="C16" s="10" t="inlineStr">
        <is>
          <t>112年第三季臺中市外送員交通事故統計</t>
        </is>
      </c>
      <c r="D16" s="11" t="inlineStr">
        <is>
          <t>a7b714cd-6b6b-4726-9949-f56a7a503d19</t>
        </is>
      </c>
      <c r="E16" s="10" t="inlineStr">
        <is>
          <t>Statistical table of traffic accidents involving delivery platform drivers in Taichung City</t>
        </is>
      </c>
      <c r="F16" s="11" t="inlineStr">
        <is>
          <t>Taichung City Police Department</t>
        </is>
      </c>
      <c r="G16" s="11" t="inlineStr">
        <is>
          <t>Transportation &amp; Comm.</t>
        </is>
      </c>
      <c r="H16" s="11" t="inlineStr">
        <is>
          <t>Quarterly</t>
        </is>
      </c>
      <c r="I16" s="11" t="inlineStr">
        <is>
          <t>OGDL-Taiwan-1.0</t>
        </is>
      </c>
      <c r="J16" s="11" t="inlineStr"/>
      <c r="K16" s="12" t="n">
        <v>1614</v>
      </c>
      <c r="L16" s="12" t="n">
        <v>36</v>
      </c>
      <c r="M16" s="11" t="inlineStr">
        <is>
          <t>2023-11-16</t>
        </is>
      </c>
      <c r="N16" s="11" t="inlineStr">
        <is>
          <t>2025-05-21 14:39:16</t>
        </is>
      </c>
      <c r="O16" s="10" t="inlineStr">
        <is>
          <t>Item No., City Code, Telephone, Category, Incidents, Fatalities, Injuries</t>
        </is>
      </c>
      <c r="P16" s="11" t="inlineStr">
        <is>
          <t>施勝民</t>
        </is>
      </c>
      <c r="Q16" s="11" t="inlineStr">
        <is>
          <t>0423272933</t>
        </is>
      </c>
      <c r="R16" s="10" t="inlineStr">
        <is>
          <t>t120085@taichung.gov.tw</t>
        </is>
      </c>
      <c r="S16" s="13" t="inlineStr">
        <is>
          <t>Open Dataset Page</t>
        </is>
      </c>
    </row>
    <row r="17" ht="24" customHeight="1">
      <c r="A17" s="4" t="n">
        <v>13</v>
      </c>
      <c r="B17" s="5" t="inlineStr">
        <is>
          <t>Taichung City Delivery Driver Traffic Accident Statistics - 2023 Q4 (ROC 112)</t>
        </is>
      </c>
      <c r="C17" s="5" t="inlineStr">
        <is>
          <t>112年第四季臺中市外送員交通事故統計</t>
        </is>
      </c>
      <c r="D17" s="6" t="inlineStr">
        <is>
          <t>14222666-180a-4bf0-bf7e-f8bdf4def18c</t>
        </is>
      </c>
      <c r="E17" s="5" t="inlineStr">
        <is>
          <t>Statistical table of traffic accidents involving delivery platform drivers in Taichung City</t>
        </is>
      </c>
      <c r="F17" s="6" t="inlineStr">
        <is>
          <t>Taichung City Police Department</t>
        </is>
      </c>
      <c r="G17" s="6" t="inlineStr">
        <is>
          <t>Transportation &amp; Comm.</t>
        </is>
      </c>
      <c r="H17" s="6" t="inlineStr">
        <is>
          <t>Quarterly</t>
        </is>
      </c>
      <c r="I17" s="6" t="inlineStr">
        <is>
          <t>OGDL-Taiwan-1.0</t>
        </is>
      </c>
      <c r="J17" s="6" t="inlineStr"/>
      <c r="K17" s="7" t="n">
        <v>1159</v>
      </c>
      <c r="L17" s="7" t="n">
        <v>38</v>
      </c>
      <c r="M17" s="6" t="inlineStr">
        <is>
          <t>2024-02-01</t>
        </is>
      </c>
      <c r="N17" s="6" t="inlineStr">
        <is>
          <t>2026-06-15 09:58:16</t>
        </is>
      </c>
      <c r="O17" s="5" t="inlineStr">
        <is>
          <t>Item No., City Code, Telephone, Category, Incidents, Fatalities, Injuries</t>
        </is>
      </c>
      <c r="P17" s="6" t="inlineStr">
        <is>
          <t>施勝民</t>
        </is>
      </c>
      <c r="Q17" s="6" t="inlineStr">
        <is>
          <t>0423272933</t>
        </is>
      </c>
      <c r="R17" s="5" t="inlineStr">
        <is>
          <t>t120085@taichung.gov.tw</t>
        </is>
      </c>
      <c r="S17" s="8" t="inlineStr">
        <is>
          <t>Open Dataset Page</t>
        </is>
      </c>
    </row>
    <row r="18" ht="24" customHeight="1">
      <c r="A18" s="9" t="n">
        <v>14</v>
      </c>
      <c r="B18" s="10" t="inlineStr">
        <is>
          <t>Taichung City Delivery Driver Traffic Accident Statistics - 2024 Q2 (ROC 113)</t>
        </is>
      </c>
      <c r="C18" s="10" t="inlineStr">
        <is>
          <t>113年第二季臺中市外送員交通事故統計</t>
        </is>
      </c>
      <c r="D18" s="11" t="inlineStr">
        <is>
          <t>ffd48cfb-e697-4af8-bea5-159832e961ca</t>
        </is>
      </c>
      <c r="E18" s="10" t="inlineStr">
        <is>
          <t>Statistical table of traffic accidents involving delivery platform drivers in Taichung City</t>
        </is>
      </c>
      <c r="F18" s="11" t="inlineStr">
        <is>
          <t>Taichung City Police Department</t>
        </is>
      </c>
      <c r="G18" s="11" t="inlineStr">
        <is>
          <t>Transportation &amp; Comm.</t>
        </is>
      </c>
      <c r="H18" s="11" t="inlineStr">
        <is>
          <t>Quarterly</t>
        </is>
      </c>
      <c r="I18" s="11" t="inlineStr">
        <is>
          <t>OGDL-Taiwan-1.0</t>
        </is>
      </c>
      <c r="J18" s="11" t="inlineStr"/>
      <c r="K18" s="12" t="n">
        <v>817</v>
      </c>
      <c r="L18" s="12" t="n">
        <v>18</v>
      </c>
      <c r="M18" s="11" t="inlineStr">
        <is>
          <t>2024-07-22</t>
        </is>
      </c>
      <c r="N18" s="11" t="inlineStr">
        <is>
          <t>2026-06-14 15:55:33</t>
        </is>
      </c>
      <c r="O18" s="10" t="inlineStr">
        <is>
          <t>Item No., City Code, Telephone, Category, Incidents, Fatalities, Injuries</t>
        </is>
      </c>
      <c r="P18" s="11" t="inlineStr">
        <is>
          <t>施勝民</t>
        </is>
      </c>
      <c r="Q18" s="11" t="inlineStr">
        <is>
          <t>(04)23272933</t>
        </is>
      </c>
      <c r="R18" s="10" t="inlineStr">
        <is>
          <t>t120085@taichung.gov.tw</t>
        </is>
      </c>
      <c r="S18" s="13" t="inlineStr">
        <is>
          <t>Open Dataset Page</t>
        </is>
      </c>
    </row>
    <row r="19" ht="24" customHeight="1">
      <c r="A19" s="4" t="n">
        <v>15</v>
      </c>
      <c r="B19" s="5" t="inlineStr">
        <is>
          <t>Taichung City Delivery Driver Traffic Accident Statistics - 2024 Q3 (ROC 113)</t>
        </is>
      </c>
      <c r="C19" s="5" t="inlineStr">
        <is>
          <t>113年第三季臺中市外送員交通事故統計</t>
        </is>
      </c>
      <c r="D19" s="6" t="inlineStr">
        <is>
          <t>b38b99b1-394b-4ebd-8536-6f9ec7cd4063</t>
        </is>
      </c>
      <c r="E19" s="5" t="inlineStr">
        <is>
          <t>Statistical table of traffic accidents involving delivery platform drivers in Taichung City</t>
        </is>
      </c>
      <c r="F19" s="6" t="inlineStr">
        <is>
          <t>Taichung City Police Department</t>
        </is>
      </c>
      <c r="G19" s="6" t="inlineStr">
        <is>
          <t>Transportation &amp; Comm.</t>
        </is>
      </c>
      <c r="H19" s="6" t="inlineStr">
        <is>
          <t>Quarterly</t>
        </is>
      </c>
      <c r="I19" s="6" t="inlineStr">
        <is>
          <t>OGDL-Taiwan-1.0</t>
        </is>
      </c>
      <c r="J19" s="6" t="inlineStr"/>
      <c r="K19" s="7" t="n">
        <v>745</v>
      </c>
      <c r="L19" s="7" t="n">
        <v>20</v>
      </c>
      <c r="M19" s="6" t="inlineStr">
        <is>
          <t>2024-10-14</t>
        </is>
      </c>
      <c r="N19" s="6" t="inlineStr">
        <is>
          <t>2026-06-14 14:30:36</t>
        </is>
      </c>
      <c r="O19" s="5" t="inlineStr">
        <is>
          <t>Item No., City Code, Telephone, Category, Incidents, Fatalities, Injuries</t>
        </is>
      </c>
      <c r="P19" s="6" t="inlineStr">
        <is>
          <t>施勝民</t>
        </is>
      </c>
      <c r="Q19" s="6" t="inlineStr">
        <is>
          <t>(04)23272933</t>
        </is>
      </c>
      <c r="R19" s="5" t="inlineStr">
        <is>
          <t>t120085@taichung.gov.tw</t>
        </is>
      </c>
      <c r="S19" s="8" t="inlineStr">
        <is>
          <t>Open Dataset Page</t>
        </is>
      </c>
    </row>
    <row r="20" ht="24" customHeight="1">
      <c r="A20" s="9" t="n">
        <v>16</v>
      </c>
      <c r="B20" s="10" t="inlineStr">
        <is>
          <t>Taichung City Delivery Driver Traffic Accident Statistics - 2024 Q4 (ROC 113)</t>
        </is>
      </c>
      <c r="C20" s="10" t="inlineStr">
        <is>
          <t>113年第四季臺中市外送員交通事故統計</t>
        </is>
      </c>
      <c r="D20" s="11" t="inlineStr">
        <is>
          <t>5f6a6be8-63d4-456f-992f-b7245a851025</t>
        </is>
      </c>
      <c r="E20" s="10" t="inlineStr">
        <is>
          <t>Statistical table of traffic accidents involving delivery platform drivers in Taichung City</t>
        </is>
      </c>
      <c r="F20" s="11" t="inlineStr">
        <is>
          <t>Taichung City Police Department</t>
        </is>
      </c>
      <c r="G20" s="11" t="inlineStr">
        <is>
          <t>Transportation &amp; Comm.</t>
        </is>
      </c>
      <c r="H20" s="11" t="inlineStr">
        <is>
          <t>Quarterly</t>
        </is>
      </c>
      <c r="I20" s="11" t="inlineStr">
        <is>
          <t>OGDL-Taiwan-1.0</t>
        </is>
      </c>
      <c r="J20" s="11" t="inlineStr"/>
      <c r="K20" s="12" t="n">
        <v>933</v>
      </c>
      <c r="L20" s="12" t="n">
        <v>24</v>
      </c>
      <c r="M20" s="11" t="inlineStr">
        <is>
          <t>2025-01-14</t>
        </is>
      </c>
      <c r="N20" s="11" t="inlineStr">
        <is>
          <t>2025-06-16 09:38:00</t>
        </is>
      </c>
      <c r="O20" s="10" t="inlineStr">
        <is>
          <t>Item No., City Code, Telephone, Category, Incidents, Fatalities, Injuries</t>
        </is>
      </c>
      <c r="P20" s="11" t="inlineStr">
        <is>
          <t>施勝民</t>
        </is>
      </c>
      <c r="Q20" s="11" t="inlineStr">
        <is>
          <t>(04)23272933</t>
        </is>
      </c>
      <c r="R20" s="10" t="inlineStr">
        <is>
          <t>t120085@taichung.gov.tw</t>
        </is>
      </c>
      <c r="S20" s="13" t="inlineStr">
        <is>
          <t>Open Dataset Page</t>
        </is>
      </c>
    </row>
    <row r="21" ht="24" customHeight="1">
      <c r="A21" s="4" t="n">
        <v>17</v>
      </c>
      <c r="B21" s="5" t="inlineStr">
        <is>
          <t>Taichung City Delivery Driver Traffic Accident Statistics - 2024 All Quarters (ROC 113)</t>
        </is>
      </c>
      <c r="C21" s="5" t="inlineStr">
        <is>
          <t>臺中市113各季外送員交通事故統計</t>
        </is>
      </c>
      <c r="D21" s="6" t="inlineStr">
        <is>
          <t>be7ac5ea-d63c-44c7-844f-b393774fa49d</t>
        </is>
      </c>
      <c r="E21" s="5" t="inlineStr">
        <is>
          <t>Statistical table of traffic accidents involving delivery platform drivers by quarter in Taichung City</t>
        </is>
      </c>
      <c r="F21" s="6" t="inlineStr">
        <is>
          <t>Taichung City Police Department</t>
        </is>
      </c>
      <c r="G21" s="6" t="inlineStr">
        <is>
          <t>Transportation &amp; Comm.</t>
        </is>
      </c>
      <c r="H21" s="6" t="inlineStr">
        <is>
          <t>Quarterly</t>
        </is>
      </c>
      <c r="I21" s="6" t="inlineStr">
        <is>
          <t>OGDL-Taiwan-1.0</t>
        </is>
      </c>
      <c r="J21" s="6" t="inlineStr"/>
      <c r="K21" s="7" t="n">
        <v>805</v>
      </c>
      <c r="L21" s="7" t="n">
        <v>22</v>
      </c>
      <c r="M21" s="6" t="inlineStr">
        <is>
          <t>2025-07-08</t>
        </is>
      </c>
      <c r="N21" s="6" t="inlineStr">
        <is>
          <t>2026-03-02 08:45:24</t>
        </is>
      </c>
      <c r="O21" s="5" t="inlineStr">
        <is>
          <t>Item No., City Code, Telephone, Category, Incidents, Fatalities, Injuries, Time Period Note</t>
        </is>
      </c>
      <c r="P21" s="6" t="inlineStr">
        <is>
          <t>施勝民</t>
        </is>
      </c>
      <c r="Q21" s="6" t="inlineStr">
        <is>
          <t>04-23272933</t>
        </is>
      </c>
      <c r="R21" s="5" t="inlineStr">
        <is>
          <t>t120085@taichung.gov.tw</t>
        </is>
      </c>
      <c r="S21" s="8" t="inlineStr">
        <is>
          <t>Open Dataset Page</t>
        </is>
      </c>
    </row>
  </sheetData>
  <autoFilter ref="A4:S21"/>
  <hyperlinks>
    <hyperlink xmlns:r="http://schemas.openxmlformats.org/officeDocument/2006/relationships" ref="S5" r:id="rId1"/>
    <hyperlink xmlns:r="http://schemas.openxmlformats.org/officeDocument/2006/relationships" ref="S6" r:id="rId2"/>
    <hyperlink xmlns:r="http://schemas.openxmlformats.org/officeDocument/2006/relationships" ref="S7" r:id="rId3"/>
    <hyperlink xmlns:r="http://schemas.openxmlformats.org/officeDocument/2006/relationships" ref="S8" r:id="rId4"/>
    <hyperlink xmlns:r="http://schemas.openxmlformats.org/officeDocument/2006/relationships" ref="S9" r:id="rId5"/>
    <hyperlink xmlns:r="http://schemas.openxmlformats.org/officeDocument/2006/relationships" ref="S10" r:id="rId6"/>
    <hyperlink xmlns:r="http://schemas.openxmlformats.org/officeDocument/2006/relationships" ref="S11" r:id="rId7"/>
    <hyperlink xmlns:r="http://schemas.openxmlformats.org/officeDocument/2006/relationships" ref="S12" r:id="rId8"/>
    <hyperlink xmlns:r="http://schemas.openxmlformats.org/officeDocument/2006/relationships" ref="S13" r:id="rId9"/>
    <hyperlink xmlns:r="http://schemas.openxmlformats.org/officeDocument/2006/relationships" ref="S14" r:id="rId10"/>
    <hyperlink xmlns:r="http://schemas.openxmlformats.org/officeDocument/2006/relationships" ref="S15" r:id="rId11"/>
    <hyperlink xmlns:r="http://schemas.openxmlformats.org/officeDocument/2006/relationships" ref="S16" r:id="rId12"/>
    <hyperlink xmlns:r="http://schemas.openxmlformats.org/officeDocument/2006/relationships" ref="S17" r:id="rId13"/>
    <hyperlink xmlns:r="http://schemas.openxmlformats.org/officeDocument/2006/relationships" ref="S18" r:id="rId14"/>
    <hyperlink xmlns:r="http://schemas.openxmlformats.org/officeDocument/2006/relationships" ref="S19" r:id="rId15"/>
    <hyperlink xmlns:r="http://schemas.openxmlformats.org/officeDocument/2006/relationships" ref="S20" r:id="rId16"/>
    <hyperlink xmlns:r="http://schemas.openxmlformats.org/officeDocument/2006/relationships" ref="S21" r:id="rId1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6" customWidth="1" min="5" max="5"/>
    <col width="15" customWidth="1" min="6" max="6"/>
    <col width="15" customWidth="1" min="7" max="7"/>
    <col width="24" customWidth="1" min="8" max="8"/>
    <col width="12" customWidth="1" min="9" max="9"/>
    <col width="12" customWidth="1" min="10" max="10"/>
    <col width="16" customWidth="1" min="11" max="11"/>
    <col width="22" customWidth="1" min="12" max="12"/>
  </cols>
  <sheetData>
    <row r="1" ht="28" customHeight="1">
      <c r="A1" s="1" t="inlineStr">
        <is>
          <t>Taichung City Delivery Driver Traffic Accidents - Quarterly Trends &amp; Statistical Summary</t>
        </is>
      </c>
    </row>
    <row r="2" ht="18" customHeight="1">
      <c r="A2" s="2" t="inlineStr">
        <is>
          <t>Consolidated from ROC 111 Q3 to ROC 115 Q2 (2022 Q3 - 2026 Q2) | Total Incidents, Category Distribution, Fatalities, and Injuries</t>
        </is>
      </c>
    </row>
    <row r="4" ht="28" customHeight="1">
      <c r="A4" s="3" t="inlineStr">
        <is>
          <t>Period</t>
        </is>
      </c>
      <c r="B4" s="3" t="inlineStr">
        <is>
          <t>AD Year</t>
        </is>
      </c>
      <c r="C4" s="3" t="inlineStr">
        <is>
          <t>ROC Year</t>
        </is>
      </c>
      <c r="D4" s="3" t="inlineStr">
        <is>
          <t>Quarter</t>
        </is>
      </c>
      <c r="E4" s="3" t="inlineStr">
        <is>
          <t>Total Incidents</t>
        </is>
      </c>
      <c r="F4" s="3" t="inlineStr">
        <is>
          <t>Cat A1 (Fatal)</t>
        </is>
      </c>
      <c r="G4" s="3" t="inlineStr">
        <is>
          <t>Cat A2 (Injury)</t>
        </is>
      </c>
      <c r="H4" s="3" t="inlineStr">
        <is>
          <t>Cat A3 (Property Damage)</t>
        </is>
      </c>
      <c r="I4" s="3" t="inlineStr">
        <is>
          <t>Fatalities</t>
        </is>
      </c>
      <c r="J4" s="3" t="inlineStr">
        <is>
          <t>Injuries</t>
        </is>
      </c>
      <c r="K4" s="3" t="inlineStr">
        <is>
          <t>Total Casualties</t>
        </is>
      </c>
      <c r="L4" s="3" t="inlineStr">
        <is>
          <t>Casualty Ratio (A1+A2)</t>
        </is>
      </c>
    </row>
    <row r="5" ht="21" customHeight="1">
      <c r="A5" s="6" t="inlineStr">
        <is>
          <t>2022 Q3</t>
        </is>
      </c>
      <c r="B5" s="6" t="n">
        <v>2022</v>
      </c>
      <c r="C5" s="6" t="n">
        <v>111</v>
      </c>
      <c r="D5" s="6" t="inlineStr">
        <is>
          <t>Q3</t>
        </is>
      </c>
      <c r="E5" s="7" t="n">
        <v>299</v>
      </c>
      <c r="F5" s="7" t="n">
        <v>1</v>
      </c>
      <c r="G5" s="7" t="n">
        <v>250</v>
      </c>
      <c r="H5" s="7" t="n">
        <v>48</v>
      </c>
      <c r="I5" s="7" t="n">
        <v>1</v>
      </c>
      <c r="J5" s="7" t="n">
        <v>349</v>
      </c>
      <c r="K5" s="7">
        <f>I5+J5</f>
        <v/>
      </c>
      <c r="L5" s="14">
        <f>IF(E5&gt;0,(F5+G5)/E5,0)</f>
        <v/>
      </c>
    </row>
    <row r="6" ht="21" customHeight="1">
      <c r="A6" s="11" t="inlineStr">
        <is>
          <t>2022 Q4</t>
        </is>
      </c>
      <c r="B6" s="11" t="n">
        <v>2022</v>
      </c>
      <c r="C6" s="11" t="n">
        <v>111</v>
      </c>
      <c r="D6" s="11" t="inlineStr">
        <is>
          <t>Q4</t>
        </is>
      </c>
      <c r="E6" s="12" t="n">
        <v>363</v>
      </c>
      <c r="F6" s="12" t="n">
        <v>0</v>
      </c>
      <c r="G6" s="12" t="n">
        <v>290</v>
      </c>
      <c r="H6" s="12" t="n">
        <v>73</v>
      </c>
      <c r="I6" s="12" t="n">
        <v>0</v>
      </c>
      <c r="J6" s="12" t="n">
        <v>411</v>
      </c>
      <c r="K6" s="12">
        <f>I6+J6</f>
        <v/>
      </c>
      <c r="L6" s="15">
        <f>IF(E6&gt;0,(F6+G6)/E6,0)</f>
        <v/>
      </c>
    </row>
    <row r="7" ht="21" customHeight="1">
      <c r="A7" s="6" t="inlineStr">
        <is>
          <t>2023 Q1</t>
        </is>
      </c>
      <c r="B7" s="6" t="n">
        <v>2023</v>
      </c>
      <c r="C7" s="6" t="n">
        <v>112</v>
      </c>
      <c r="D7" s="6" t="inlineStr">
        <is>
          <t>Q1</t>
        </is>
      </c>
      <c r="E7" s="7" t="n">
        <v>433</v>
      </c>
      <c r="F7" s="7" t="n">
        <v>1</v>
      </c>
      <c r="G7" s="7" t="n">
        <v>348</v>
      </c>
      <c r="H7" s="7" t="n">
        <v>84</v>
      </c>
      <c r="I7" s="7" t="n">
        <v>1</v>
      </c>
      <c r="J7" s="7" t="n">
        <v>518</v>
      </c>
      <c r="K7" s="7">
        <f>I7+J7</f>
        <v/>
      </c>
      <c r="L7" s="14">
        <f>IF(E7&gt;0,(F7+G7)/E7,0)</f>
        <v/>
      </c>
    </row>
    <row r="8" ht="21" customHeight="1">
      <c r="A8" s="11" t="inlineStr">
        <is>
          <t>2023 Q2</t>
        </is>
      </c>
      <c r="B8" s="11" t="n">
        <v>2023</v>
      </c>
      <c r="C8" s="11" t="n">
        <v>112</v>
      </c>
      <c r="D8" s="11" t="inlineStr">
        <is>
          <t>Q2</t>
        </is>
      </c>
      <c r="E8" s="12" t="n">
        <v>365</v>
      </c>
      <c r="F8" s="12" t="n">
        <v>1</v>
      </c>
      <c r="G8" s="12" t="n">
        <v>285</v>
      </c>
      <c r="H8" s="12" t="n">
        <v>79</v>
      </c>
      <c r="I8" s="12" t="n">
        <v>1</v>
      </c>
      <c r="J8" s="12" t="n">
        <v>392</v>
      </c>
      <c r="K8" s="12">
        <f>I8+J8</f>
        <v/>
      </c>
      <c r="L8" s="15">
        <f>IF(E8&gt;0,(F8+G8)/E8,0)</f>
        <v/>
      </c>
    </row>
    <row r="9" ht="21" customHeight="1">
      <c r="A9" s="6" t="inlineStr">
        <is>
          <t>2023 Q3</t>
        </is>
      </c>
      <c r="B9" s="6" t="n">
        <v>2023</v>
      </c>
      <c r="C9" s="6" t="n">
        <v>112</v>
      </c>
      <c r="D9" s="6" t="inlineStr">
        <is>
          <t>Q3</t>
        </is>
      </c>
      <c r="E9" s="7" t="n">
        <v>670</v>
      </c>
      <c r="F9" s="7" t="n">
        <v>1</v>
      </c>
      <c r="G9" s="7" t="n">
        <v>501</v>
      </c>
      <c r="H9" s="7" t="n">
        <v>168</v>
      </c>
      <c r="I9" s="7" t="n">
        <v>1</v>
      </c>
      <c r="J9" s="7" t="n">
        <v>688</v>
      </c>
      <c r="K9" s="7">
        <f>I9+J9</f>
        <v/>
      </c>
      <c r="L9" s="14">
        <f>IF(E9&gt;0,(F9+G9)/E9,0)</f>
        <v/>
      </c>
    </row>
    <row r="10" ht="21" customHeight="1">
      <c r="A10" s="11" t="inlineStr">
        <is>
          <t>2023 Q4</t>
        </is>
      </c>
      <c r="B10" s="11" t="n">
        <v>2023</v>
      </c>
      <c r="C10" s="11" t="n">
        <v>112</v>
      </c>
      <c r="D10" s="11" t="inlineStr">
        <is>
          <t>Q4</t>
        </is>
      </c>
      <c r="E10" s="12" t="n">
        <v>537</v>
      </c>
      <c r="F10" s="12" t="n">
        <v>0</v>
      </c>
      <c r="G10" s="12" t="n">
        <v>427</v>
      </c>
      <c r="H10" s="12" t="n">
        <v>110</v>
      </c>
      <c r="I10" s="12" t="n">
        <v>0</v>
      </c>
      <c r="J10" s="12" t="n">
        <v>596</v>
      </c>
      <c r="K10" s="12">
        <f>I10+J10</f>
        <v/>
      </c>
      <c r="L10" s="15">
        <f>IF(E10&gt;0,(F10+G10)/E10,0)</f>
        <v/>
      </c>
    </row>
    <row r="11" ht="21" customHeight="1">
      <c r="A11" s="6" t="inlineStr">
        <is>
          <t>2024 Q1</t>
        </is>
      </c>
      <c r="B11" s="6" t="n">
        <v>2024</v>
      </c>
      <c r="C11" s="6" t="n">
        <v>113</v>
      </c>
      <c r="D11" s="6" t="inlineStr">
        <is>
          <t>Q1</t>
        </is>
      </c>
      <c r="E11" s="7" t="n">
        <v>569</v>
      </c>
      <c r="F11" s="7" t="n">
        <v>0</v>
      </c>
      <c r="G11" s="7" t="n">
        <v>429</v>
      </c>
      <c r="H11" s="7" t="n">
        <v>140</v>
      </c>
      <c r="I11" s="7" t="n">
        <v>0</v>
      </c>
      <c r="J11" s="7" t="n">
        <v>594</v>
      </c>
      <c r="K11" s="7">
        <f>I11+J11</f>
        <v/>
      </c>
      <c r="L11" s="14">
        <f>IF(E11&gt;0,(F11+G11)/E11,0)</f>
        <v/>
      </c>
    </row>
    <row r="12" ht="21" customHeight="1">
      <c r="A12" s="11" t="inlineStr">
        <is>
          <t>2024 Q2</t>
        </is>
      </c>
      <c r="B12" s="11" t="n">
        <v>2024</v>
      </c>
      <c r="C12" s="11" t="n">
        <v>113</v>
      </c>
      <c r="D12" s="11" t="inlineStr">
        <is>
          <t>Q2</t>
        </is>
      </c>
      <c r="E12" s="12" t="n">
        <v>420</v>
      </c>
      <c r="F12" s="12" t="n">
        <v>1</v>
      </c>
      <c r="G12" s="12" t="n">
        <v>314</v>
      </c>
      <c r="H12" s="12" t="n">
        <v>105</v>
      </c>
      <c r="I12" s="12" t="n">
        <v>1</v>
      </c>
      <c r="J12" s="12" t="n">
        <v>432</v>
      </c>
      <c r="K12" s="12">
        <f>I12+J12</f>
        <v/>
      </c>
      <c r="L12" s="15">
        <f>IF(E12&gt;0,(F12+G12)/E12,0)</f>
        <v/>
      </c>
    </row>
    <row r="13" ht="21" customHeight="1">
      <c r="A13" s="6" t="inlineStr">
        <is>
          <t>2024 Q3</t>
        </is>
      </c>
      <c r="B13" s="6" t="n">
        <v>2024</v>
      </c>
      <c r="C13" s="6" t="n">
        <v>113</v>
      </c>
      <c r="D13" s="6" t="inlineStr">
        <is>
          <t>Q3</t>
        </is>
      </c>
      <c r="E13" s="7" t="n">
        <v>479</v>
      </c>
      <c r="F13" s="7" t="n">
        <v>0</v>
      </c>
      <c r="G13" s="7" t="n">
        <v>356</v>
      </c>
      <c r="H13" s="7" t="n">
        <v>123</v>
      </c>
      <c r="I13" s="7" t="n">
        <v>0</v>
      </c>
      <c r="J13" s="7" t="n">
        <v>493</v>
      </c>
      <c r="K13" s="7">
        <f>I13+J13</f>
        <v/>
      </c>
      <c r="L13" s="14">
        <f>IF(E13&gt;0,(F13+G13)/E13,0)</f>
        <v/>
      </c>
    </row>
    <row r="14" ht="21" customHeight="1">
      <c r="A14" s="11" t="inlineStr">
        <is>
          <t>2024 Q4</t>
        </is>
      </c>
      <c r="B14" s="11" t="n">
        <v>2024</v>
      </c>
      <c r="C14" s="11" t="n">
        <v>113</v>
      </c>
      <c r="D14" s="11" t="inlineStr">
        <is>
          <t>Q4</t>
        </is>
      </c>
      <c r="E14" s="12" t="n">
        <v>465</v>
      </c>
      <c r="F14" s="12" t="n">
        <v>0</v>
      </c>
      <c r="G14" s="12" t="n">
        <v>369</v>
      </c>
      <c r="H14" s="12" t="n">
        <v>96</v>
      </c>
      <c r="I14" s="12" t="n">
        <v>0</v>
      </c>
      <c r="J14" s="12" t="n">
        <v>513</v>
      </c>
      <c r="K14" s="12">
        <f>I14+J14</f>
        <v/>
      </c>
      <c r="L14" s="15">
        <f>IF(E14&gt;0,(F14+G14)/E14,0)</f>
        <v/>
      </c>
    </row>
    <row r="15" ht="21" customHeight="1">
      <c r="A15" s="6" t="inlineStr">
        <is>
          <t>2025 Q1</t>
        </is>
      </c>
      <c r="B15" s="6" t="n">
        <v>2025</v>
      </c>
      <c r="C15" s="6" t="n">
        <v>114</v>
      </c>
      <c r="D15" s="6" t="inlineStr">
        <is>
          <t>Q1</t>
        </is>
      </c>
      <c r="E15" s="7" t="n">
        <v>431</v>
      </c>
      <c r="F15" s="7" t="n">
        <v>2</v>
      </c>
      <c r="G15" s="7" t="n">
        <v>315</v>
      </c>
      <c r="H15" s="7" t="n">
        <v>114</v>
      </c>
      <c r="I15" s="7" t="n">
        <v>2</v>
      </c>
      <c r="J15" s="7" t="n">
        <v>444</v>
      </c>
      <c r="K15" s="7">
        <f>I15+J15</f>
        <v/>
      </c>
      <c r="L15" s="14">
        <f>IF(E15&gt;0,(F15+G15)/E15,0)</f>
        <v/>
      </c>
    </row>
    <row r="16" ht="21" customHeight="1">
      <c r="A16" s="11" t="inlineStr">
        <is>
          <t>2025 Q2</t>
        </is>
      </c>
      <c r="B16" s="11" t="n">
        <v>2025</v>
      </c>
      <c r="C16" s="11" t="n">
        <v>114</v>
      </c>
      <c r="D16" s="11" t="inlineStr">
        <is>
          <t>Q2</t>
        </is>
      </c>
      <c r="E16" s="12" t="n">
        <v>388</v>
      </c>
      <c r="F16" s="12" t="n">
        <v>0</v>
      </c>
      <c r="G16" s="12" t="n">
        <v>282</v>
      </c>
      <c r="H16" s="12" t="n">
        <v>106</v>
      </c>
      <c r="I16" s="12" t="n">
        <v>0</v>
      </c>
      <c r="J16" s="12" t="n">
        <v>380</v>
      </c>
      <c r="K16" s="12">
        <f>I16+J16</f>
        <v/>
      </c>
      <c r="L16" s="15">
        <f>IF(E16&gt;0,(F16+G16)/E16,0)</f>
        <v/>
      </c>
    </row>
    <row r="17" ht="21" customHeight="1">
      <c r="A17" s="6" t="inlineStr">
        <is>
          <t>2025 Q3</t>
        </is>
      </c>
      <c r="B17" s="6" t="n">
        <v>2025</v>
      </c>
      <c r="C17" s="6" t="n">
        <v>114</v>
      </c>
      <c r="D17" s="6" t="inlineStr">
        <is>
          <t>Q3</t>
        </is>
      </c>
      <c r="E17" s="7" t="n">
        <v>389</v>
      </c>
      <c r="F17" s="7" t="n">
        <v>0</v>
      </c>
      <c r="G17" s="7" t="n">
        <v>295</v>
      </c>
      <c r="H17" s="7" t="n">
        <v>94</v>
      </c>
      <c r="I17" s="7" t="n">
        <v>0</v>
      </c>
      <c r="J17" s="7" t="n">
        <v>388</v>
      </c>
      <c r="K17" s="7">
        <f>I17+J17</f>
        <v/>
      </c>
      <c r="L17" s="14">
        <f>IF(E17&gt;0,(F17+G17)/E17,0)</f>
        <v/>
      </c>
    </row>
    <row r="18" ht="21" customHeight="1">
      <c r="A18" s="11" t="inlineStr">
        <is>
          <t>2025 Q4</t>
        </is>
      </c>
      <c r="B18" s="11" t="n">
        <v>2025</v>
      </c>
      <c r="C18" s="11" t="n">
        <v>114</v>
      </c>
      <c r="D18" s="11" t="inlineStr">
        <is>
          <t>Q4</t>
        </is>
      </c>
      <c r="E18" s="12" t="n">
        <v>421</v>
      </c>
      <c r="F18" s="12" t="n">
        <v>0</v>
      </c>
      <c r="G18" s="12" t="n">
        <v>310</v>
      </c>
      <c r="H18" s="12" t="n">
        <v>111</v>
      </c>
      <c r="I18" s="12" t="n">
        <v>0</v>
      </c>
      <c r="J18" s="12" t="n">
        <v>432</v>
      </c>
      <c r="K18" s="12">
        <f>I18+J18</f>
        <v/>
      </c>
      <c r="L18" s="15">
        <f>IF(E18&gt;0,(F18+G18)/E18,0)</f>
        <v/>
      </c>
    </row>
    <row r="19" ht="21" customHeight="1">
      <c r="A19" s="6" t="inlineStr">
        <is>
          <t>2026 Q1</t>
        </is>
      </c>
      <c r="B19" s="6" t="n">
        <v>2026</v>
      </c>
      <c r="C19" s="6" t="n">
        <v>115</v>
      </c>
      <c r="D19" s="6" t="inlineStr">
        <is>
          <t>Q1</t>
        </is>
      </c>
      <c r="E19" s="7" t="n">
        <v>408</v>
      </c>
      <c r="F19" s="7" t="n">
        <v>0</v>
      </c>
      <c r="G19" s="7" t="n">
        <v>292</v>
      </c>
      <c r="H19" s="7" t="n">
        <v>116</v>
      </c>
      <c r="I19" s="7" t="n">
        <v>0</v>
      </c>
      <c r="J19" s="7" t="n">
        <v>396</v>
      </c>
      <c r="K19" s="7">
        <f>I19+J19</f>
        <v/>
      </c>
      <c r="L19" s="14">
        <f>IF(E19&gt;0,(F19+G19)/E19,0)</f>
        <v/>
      </c>
    </row>
    <row r="20" ht="21" customHeight="1">
      <c r="A20" s="11" t="inlineStr">
        <is>
          <t>2026 Q2</t>
        </is>
      </c>
      <c r="B20" s="11" t="n">
        <v>2026</v>
      </c>
      <c r="C20" s="11" t="n">
        <v>115</v>
      </c>
      <c r="D20" s="11" t="inlineStr">
        <is>
          <t>Q2</t>
        </is>
      </c>
      <c r="E20" s="12" t="n">
        <v>372</v>
      </c>
      <c r="F20" s="12" t="n">
        <v>1</v>
      </c>
      <c r="G20" s="12" t="n">
        <v>279</v>
      </c>
      <c r="H20" s="12" t="n">
        <v>92</v>
      </c>
      <c r="I20" s="12" t="n">
        <v>1</v>
      </c>
      <c r="J20" s="12" t="n">
        <v>371</v>
      </c>
      <c r="K20" s="12">
        <f>I20+J20</f>
        <v/>
      </c>
      <c r="L20" s="15">
        <f>IF(E20&gt;0,(F20+G20)/E20,0)</f>
        <v/>
      </c>
    </row>
    <row r="21" ht="24" customHeight="1">
      <c r="A21" s="16" t="inlineStr">
        <is>
          <t>Grand Total</t>
        </is>
      </c>
      <c r="B21" s="16" t="inlineStr"/>
      <c r="C21" s="16" t="inlineStr"/>
      <c r="D21" s="16" t="inlineStr"/>
      <c r="E21" s="17">
        <f>SUM(E5:E20)</f>
        <v/>
      </c>
      <c r="F21" s="17">
        <f>SUM(F5:F20)</f>
        <v/>
      </c>
      <c r="G21" s="17">
        <f>SUM(G5:G20)</f>
        <v/>
      </c>
      <c r="H21" s="17">
        <f>SUM(H5:H20)</f>
        <v/>
      </c>
      <c r="I21" s="17">
        <f>SUM(I5:I20)</f>
        <v/>
      </c>
      <c r="J21" s="17">
        <f>SUM(J5:J20)</f>
        <v/>
      </c>
      <c r="K21" s="17">
        <f>SUM(K5:K20)</f>
        <v/>
      </c>
      <c r="L21" s="18">
        <f>IF(E21&gt;0,(F21+G21)/E21,0)</f>
        <v/>
      </c>
    </row>
  </sheetData>
  <autoFilter ref="A4:L20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10" customWidth="1" min="4" max="4"/>
    <col width="10" customWidth="1" min="5" max="5"/>
    <col width="25" customWidth="1" min="6" max="6"/>
    <col width="18" customWidth="1" min="7" max="7"/>
    <col width="50" customWidth="1" min="8" max="8"/>
    <col width="14" customWidth="1" min="9" max="9"/>
    <col width="14" customWidth="1" min="10" max="10"/>
    <col width="14" customWidth="1" min="11" max="11"/>
    <col width="16" customWidth="1" min="12" max="12"/>
    <col width="12" customWidth="1" min="13" max="13"/>
    <col width="16" customWidth="1" min="14" max="14"/>
    <col width="44" customWidth="1" min="15" max="15"/>
    <col width="38" customWidth="1" min="16" max="16"/>
  </cols>
  <sheetData>
    <row r="1" ht="28" customHeight="1">
      <c r="A1" s="1" t="inlineStr">
        <is>
          <t>Taichung City Delivery Driver Traffic Accidents - Standardized Quarterly Records</t>
        </is>
      </c>
    </row>
    <row r="2" ht="18" customHeight="1">
      <c r="A2" s="2" t="inlineStr">
        <is>
          <t>Data Source: Taichung City Police Department | Normalized across 16 quarters (2022 Q3 - 2026 Q2)</t>
        </is>
      </c>
    </row>
    <row r="4" ht="28" customHeight="1">
      <c r="A4" s="3" t="inlineStr">
        <is>
          <t>No.</t>
        </is>
      </c>
      <c r="B4" s="3" t="inlineStr">
        <is>
          <t>Period</t>
        </is>
      </c>
      <c r="C4" s="3" t="inlineStr">
        <is>
          <t>AD Year</t>
        </is>
      </c>
      <c r="D4" s="3" t="inlineStr">
        <is>
          <t>ROC Year</t>
        </is>
      </c>
      <c r="E4" s="3" t="inlineStr">
        <is>
          <t>Quarter</t>
        </is>
      </c>
      <c r="F4" s="3" t="inlineStr">
        <is>
          <t>Date Range</t>
        </is>
      </c>
      <c r="G4" s="3" t="inlineStr">
        <is>
          <t>Accident Category</t>
        </is>
      </c>
      <c r="H4" s="3" t="inlineStr">
        <is>
          <t>Category Legal Definition</t>
        </is>
      </c>
      <c r="I4" s="3" t="inlineStr">
        <is>
          <t>Incidents</t>
        </is>
      </c>
      <c r="J4" s="3" t="inlineStr">
        <is>
          <t>Fatalities</t>
        </is>
      </c>
      <c r="K4" s="3" t="inlineStr">
        <is>
          <t>Injuries</t>
        </is>
      </c>
      <c r="L4" s="3" t="inlineStr">
        <is>
          <t>Total Casualties</t>
        </is>
      </c>
      <c r="M4" s="3" t="inlineStr">
        <is>
          <t>City Code</t>
        </is>
      </c>
      <c r="N4" s="3" t="inlineStr">
        <is>
          <t>Phone</t>
        </is>
      </c>
      <c r="O4" s="3" t="inlineStr">
        <is>
          <t>Dataset Title (English)</t>
        </is>
      </c>
      <c r="P4" s="3" t="inlineStr">
        <is>
          <t>Dataset ID (PID)</t>
        </is>
      </c>
    </row>
    <row r="5" ht="20" customHeight="1">
      <c r="A5" s="19" t="n">
        <v>1</v>
      </c>
      <c r="B5" s="20" t="inlineStr">
        <is>
          <t>2022 Q3</t>
        </is>
      </c>
      <c r="C5" s="21" t="n">
        <v>2022</v>
      </c>
      <c r="D5" s="19" t="n">
        <v>111</v>
      </c>
      <c r="E5" s="20" t="inlineStr">
        <is>
          <t>Q3</t>
        </is>
      </c>
      <c r="F5" s="20" t="inlineStr">
        <is>
          <t>2022-07-01 to 2022-09-30</t>
        </is>
      </c>
      <c r="G5" s="20" t="inlineStr">
        <is>
          <t>Total</t>
        </is>
      </c>
      <c r="H5" s="22" t="inlineStr">
        <is>
          <t>Total of all traffic accident categories</t>
        </is>
      </c>
      <c r="I5" s="23" t="n">
        <v>299</v>
      </c>
      <c r="J5" s="23" t="n">
        <v>1</v>
      </c>
      <c r="K5" s="23" t="n">
        <v>349</v>
      </c>
      <c r="L5" s="23">
        <f>J5+K5</f>
        <v/>
      </c>
      <c r="M5" s="20" t="inlineStr">
        <is>
          <t>66000</t>
        </is>
      </c>
      <c r="N5" s="20" t="inlineStr">
        <is>
          <t>(04)23274275</t>
        </is>
      </c>
      <c r="O5" s="22" t="inlineStr">
        <is>
          <t>Taichung City Delivery Driver Traffic Accident Statistics - 2022 Q3 (ROC 111)</t>
        </is>
      </c>
      <c r="P5" s="20" t="inlineStr">
        <is>
          <t>977d1f0c-3552-4a69-a68f-6b12bb6c7c79</t>
        </is>
      </c>
    </row>
    <row r="6" ht="20" customHeight="1">
      <c r="A6" s="9" t="n">
        <v>2</v>
      </c>
      <c r="B6" s="11" t="inlineStr">
        <is>
          <t>2022 Q3</t>
        </is>
      </c>
      <c r="C6" s="24" t="n">
        <v>2022</v>
      </c>
      <c r="D6" s="9" t="n">
        <v>111</v>
      </c>
      <c r="E6" s="11" t="inlineStr">
        <is>
          <t>Q3</t>
        </is>
      </c>
      <c r="F6" s="11" t="inlineStr">
        <is>
          <t>2022-07-01 to 2022-09-30</t>
        </is>
      </c>
      <c r="G6" s="11" t="inlineStr">
        <is>
          <t>Category A1</t>
        </is>
      </c>
      <c r="H6" s="10" t="inlineStr">
        <is>
          <t>Fatal accidents (death on scene or within 24 hours)</t>
        </is>
      </c>
      <c r="I6" s="12" t="n">
        <v>1</v>
      </c>
      <c r="J6" s="12" t="n">
        <v>1</v>
      </c>
      <c r="K6" s="12" t="n">
        <v>0</v>
      </c>
      <c r="L6" s="12">
        <f>J6+K6</f>
        <v/>
      </c>
      <c r="M6" s="11" t="inlineStr">
        <is>
          <t>66000</t>
        </is>
      </c>
      <c r="N6" s="11" t="inlineStr">
        <is>
          <t>(04)23274275</t>
        </is>
      </c>
      <c r="O6" s="10" t="inlineStr">
        <is>
          <t>Taichung City Delivery Driver Traffic Accident Statistics - 2022 Q3 (ROC 111)</t>
        </is>
      </c>
      <c r="P6" s="11" t="inlineStr">
        <is>
          <t>977d1f0c-3552-4a69-a68f-6b12bb6c7c79</t>
        </is>
      </c>
    </row>
    <row r="7" ht="20" customHeight="1">
      <c r="A7" s="4" t="n">
        <v>3</v>
      </c>
      <c r="B7" s="6" t="inlineStr">
        <is>
          <t>2022 Q3</t>
        </is>
      </c>
      <c r="C7" s="25" t="n">
        <v>2022</v>
      </c>
      <c r="D7" s="4" t="n">
        <v>111</v>
      </c>
      <c r="E7" s="6" t="inlineStr">
        <is>
          <t>Q3</t>
        </is>
      </c>
      <c r="F7" s="6" t="inlineStr">
        <is>
          <t>2022-07-01 to 2022-09-30</t>
        </is>
      </c>
      <c r="G7" s="6" t="inlineStr">
        <is>
          <t>Category A2</t>
        </is>
      </c>
      <c r="H7" s="5" t="inlineStr">
        <is>
          <t>Injury accidents (injury or death after 24 hours)</t>
        </is>
      </c>
      <c r="I7" s="7" t="n">
        <v>250</v>
      </c>
      <c r="J7" s="7" t="n">
        <v>0</v>
      </c>
      <c r="K7" s="7" t="n">
        <v>349</v>
      </c>
      <c r="L7" s="7">
        <f>J7+K7</f>
        <v/>
      </c>
      <c r="M7" s="6" t="inlineStr">
        <is>
          <t>66000</t>
        </is>
      </c>
      <c r="N7" s="6" t="inlineStr">
        <is>
          <t>(04)23274275</t>
        </is>
      </c>
      <c r="O7" s="5" t="inlineStr">
        <is>
          <t>Taichung City Delivery Driver Traffic Accident Statistics - 2022 Q3 (ROC 111)</t>
        </is>
      </c>
      <c r="P7" s="6" t="inlineStr">
        <is>
          <t>977d1f0c-3552-4a69-a68f-6b12bb6c7c79</t>
        </is>
      </c>
    </row>
    <row r="8" ht="20" customHeight="1">
      <c r="A8" s="9" t="n">
        <v>4</v>
      </c>
      <c r="B8" s="11" t="inlineStr">
        <is>
          <t>2022 Q3</t>
        </is>
      </c>
      <c r="C8" s="24" t="n">
        <v>2022</v>
      </c>
      <c r="D8" s="9" t="n">
        <v>111</v>
      </c>
      <c r="E8" s="11" t="inlineStr">
        <is>
          <t>Q3</t>
        </is>
      </c>
      <c r="F8" s="11" t="inlineStr">
        <is>
          <t>2022-07-01 to 2022-09-30</t>
        </is>
      </c>
      <c r="G8" s="11" t="inlineStr">
        <is>
          <t>Category A3</t>
        </is>
      </c>
      <c r="H8" s="10" t="inlineStr">
        <is>
          <t>Property / vehicle damage only (no casualty)</t>
        </is>
      </c>
      <c r="I8" s="12" t="n">
        <v>48</v>
      </c>
      <c r="J8" s="12" t="n">
        <v>0</v>
      </c>
      <c r="K8" s="12" t="n">
        <v>0</v>
      </c>
      <c r="L8" s="12">
        <f>J8+K8</f>
        <v/>
      </c>
      <c r="M8" s="11" t="inlineStr">
        <is>
          <t>66000</t>
        </is>
      </c>
      <c r="N8" s="11" t="inlineStr">
        <is>
          <t>(04)23274275</t>
        </is>
      </c>
      <c r="O8" s="10" t="inlineStr">
        <is>
          <t>Taichung City Delivery Driver Traffic Accident Statistics - 2022 Q3 (ROC 111)</t>
        </is>
      </c>
      <c r="P8" s="11" t="inlineStr">
        <is>
          <t>977d1f0c-3552-4a69-a68f-6b12bb6c7c79</t>
        </is>
      </c>
    </row>
    <row r="9" ht="20" customHeight="1">
      <c r="A9" s="19" t="n">
        <v>5</v>
      </c>
      <c r="B9" s="20" t="inlineStr">
        <is>
          <t>2022 Q4</t>
        </is>
      </c>
      <c r="C9" s="21" t="n">
        <v>2022</v>
      </c>
      <c r="D9" s="19" t="n">
        <v>111</v>
      </c>
      <c r="E9" s="20" t="inlineStr">
        <is>
          <t>Q4</t>
        </is>
      </c>
      <c r="F9" s="20" t="inlineStr">
        <is>
          <t>2022-10-01 to 2022-12-31</t>
        </is>
      </c>
      <c r="G9" s="20" t="inlineStr">
        <is>
          <t>Total</t>
        </is>
      </c>
      <c r="H9" s="22" t="inlineStr">
        <is>
          <t>Total of all traffic accident categories</t>
        </is>
      </c>
      <c r="I9" s="23" t="n">
        <v>363</v>
      </c>
      <c r="J9" s="23" t="n">
        <v>0</v>
      </c>
      <c r="K9" s="23" t="n">
        <v>411</v>
      </c>
      <c r="L9" s="23">
        <f>J9+K9</f>
        <v/>
      </c>
      <c r="M9" s="20" t="inlineStr">
        <is>
          <t>66000</t>
        </is>
      </c>
      <c r="N9" s="20" t="inlineStr">
        <is>
          <t>(04)23274275</t>
        </is>
      </c>
      <c r="O9" s="22" t="inlineStr">
        <is>
          <t>Taichung City Delivery Driver Traffic Accident Statistics - 2022 Q4 (ROC 111)</t>
        </is>
      </c>
      <c r="P9" s="20" t="inlineStr">
        <is>
          <t>ce155bf5-b420-4f6d-86c3-ca61c03095d1</t>
        </is>
      </c>
    </row>
    <row r="10" ht="20" customHeight="1">
      <c r="A10" s="9" t="n">
        <v>6</v>
      </c>
      <c r="B10" s="11" t="inlineStr">
        <is>
          <t>2022 Q4</t>
        </is>
      </c>
      <c r="C10" s="24" t="n">
        <v>2022</v>
      </c>
      <c r="D10" s="9" t="n">
        <v>111</v>
      </c>
      <c r="E10" s="11" t="inlineStr">
        <is>
          <t>Q4</t>
        </is>
      </c>
      <c r="F10" s="11" t="inlineStr">
        <is>
          <t>2022-10-01 to 2022-12-31</t>
        </is>
      </c>
      <c r="G10" s="11" t="inlineStr">
        <is>
          <t>Category A1</t>
        </is>
      </c>
      <c r="H10" s="10" t="inlineStr">
        <is>
          <t>Fatal accidents (death on scene or within 24 hours)</t>
        </is>
      </c>
      <c r="I10" s="12" t="n">
        <v>0</v>
      </c>
      <c r="J10" s="12" t="n">
        <v>0</v>
      </c>
      <c r="K10" s="12" t="n">
        <v>0</v>
      </c>
      <c r="L10" s="12">
        <f>J10+K10</f>
        <v/>
      </c>
      <c r="M10" s="11" t="inlineStr">
        <is>
          <t>66000</t>
        </is>
      </c>
      <c r="N10" s="11" t="inlineStr">
        <is>
          <t>(04)23274275</t>
        </is>
      </c>
      <c r="O10" s="10" t="inlineStr">
        <is>
          <t>Taichung City Delivery Driver Traffic Accident Statistics - 2022 Q4 (ROC 111)</t>
        </is>
      </c>
      <c r="P10" s="11" t="inlineStr">
        <is>
          <t>ce155bf5-b420-4f6d-86c3-ca61c03095d1</t>
        </is>
      </c>
    </row>
    <row r="11" ht="20" customHeight="1">
      <c r="A11" s="4" t="n">
        <v>7</v>
      </c>
      <c r="B11" s="6" t="inlineStr">
        <is>
          <t>2022 Q4</t>
        </is>
      </c>
      <c r="C11" s="25" t="n">
        <v>2022</v>
      </c>
      <c r="D11" s="4" t="n">
        <v>111</v>
      </c>
      <c r="E11" s="6" t="inlineStr">
        <is>
          <t>Q4</t>
        </is>
      </c>
      <c r="F11" s="6" t="inlineStr">
        <is>
          <t>2022-10-01 to 2022-12-31</t>
        </is>
      </c>
      <c r="G11" s="6" t="inlineStr">
        <is>
          <t>Category A2</t>
        </is>
      </c>
      <c r="H11" s="5" t="inlineStr">
        <is>
          <t>Injury accidents (injury or death after 24 hours)</t>
        </is>
      </c>
      <c r="I11" s="7" t="n">
        <v>290</v>
      </c>
      <c r="J11" s="7" t="n">
        <v>0</v>
      </c>
      <c r="K11" s="7" t="n">
        <v>411</v>
      </c>
      <c r="L11" s="7">
        <f>J11+K11</f>
        <v/>
      </c>
      <c r="M11" s="6" t="inlineStr">
        <is>
          <t>66000</t>
        </is>
      </c>
      <c r="N11" s="6" t="inlineStr">
        <is>
          <t>(04)23274275</t>
        </is>
      </c>
      <c r="O11" s="5" t="inlineStr">
        <is>
          <t>Taichung City Delivery Driver Traffic Accident Statistics - 2022 Q4 (ROC 111)</t>
        </is>
      </c>
      <c r="P11" s="6" t="inlineStr">
        <is>
          <t>ce155bf5-b420-4f6d-86c3-ca61c03095d1</t>
        </is>
      </c>
    </row>
    <row r="12" ht="20" customHeight="1">
      <c r="A12" s="9" t="n">
        <v>8</v>
      </c>
      <c r="B12" s="11" t="inlineStr">
        <is>
          <t>2022 Q4</t>
        </is>
      </c>
      <c r="C12" s="24" t="n">
        <v>2022</v>
      </c>
      <c r="D12" s="9" t="n">
        <v>111</v>
      </c>
      <c r="E12" s="11" t="inlineStr">
        <is>
          <t>Q4</t>
        </is>
      </c>
      <c r="F12" s="11" t="inlineStr">
        <is>
          <t>2022-10-01 to 2022-12-31</t>
        </is>
      </c>
      <c r="G12" s="11" t="inlineStr">
        <is>
          <t>Category A3</t>
        </is>
      </c>
      <c r="H12" s="10" t="inlineStr">
        <is>
          <t>Property / vehicle damage only (no casualty)</t>
        </is>
      </c>
      <c r="I12" s="12" t="n">
        <v>73</v>
      </c>
      <c r="J12" s="12" t="n">
        <v>0</v>
      </c>
      <c r="K12" s="12" t="n">
        <v>0</v>
      </c>
      <c r="L12" s="12">
        <f>J12+K12</f>
        <v/>
      </c>
      <c r="M12" s="11" t="inlineStr">
        <is>
          <t>66000</t>
        </is>
      </c>
      <c r="N12" s="11" t="inlineStr">
        <is>
          <t>(04)23274275</t>
        </is>
      </c>
      <c r="O12" s="10" t="inlineStr">
        <is>
          <t>Taichung City Delivery Driver Traffic Accident Statistics - 2022 Q4 (ROC 111)</t>
        </is>
      </c>
      <c r="P12" s="11" t="inlineStr">
        <is>
          <t>ce155bf5-b420-4f6d-86c3-ca61c03095d1</t>
        </is>
      </c>
    </row>
    <row r="13" ht="20" customHeight="1">
      <c r="A13" s="19" t="n">
        <v>9</v>
      </c>
      <c r="B13" s="20" t="inlineStr">
        <is>
          <t>2023 Q1</t>
        </is>
      </c>
      <c r="C13" s="21" t="n">
        <v>2023</v>
      </c>
      <c r="D13" s="19" t="n">
        <v>112</v>
      </c>
      <c r="E13" s="20" t="inlineStr">
        <is>
          <t>Q1</t>
        </is>
      </c>
      <c r="F13" s="20" t="inlineStr">
        <is>
          <t>2023-01-01 to 2023-03-31</t>
        </is>
      </c>
      <c r="G13" s="20" t="inlineStr">
        <is>
          <t>Total</t>
        </is>
      </c>
      <c r="H13" s="22" t="inlineStr">
        <is>
          <t>Total of all traffic accident categories</t>
        </is>
      </c>
      <c r="I13" s="23" t="n">
        <v>433</v>
      </c>
      <c r="J13" s="23" t="n">
        <v>1</v>
      </c>
      <c r="K13" s="23" t="n">
        <v>518</v>
      </c>
      <c r="L13" s="23">
        <f>J13+K13</f>
        <v/>
      </c>
      <c r="M13" s="20" t="inlineStr">
        <is>
          <t>66000</t>
        </is>
      </c>
      <c r="N13" s="20" t="inlineStr">
        <is>
          <t>(04)23274275</t>
        </is>
      </c>
      <c r="O13" s="22" t="inlineStr">
        <is>
          <t>Taichung City Delivery Driver Traffic Accident Statistics - 2023 Q1 (ROC 112)</t>
        </is>
      </c>
      <c r="P13" s="20" t="inlineStr">
        <is>
          <t>0cb2aa2f-838b-4d09-bd08-bd90844acf74</t>
        </is>
      </c>
    </row>
    <row r="14" ht="20" customHeight="1">
      <c r="A14" s="9" t="n">
        <v>10</v>
      </c>
      <c r="B14" s="11" t="inlineStr">
        <is>
          <t>2023 Q1</t>
        </is>
      </c>
      <c r="C14" s="24" t="n">
        <v>2023</v>
      </c>
      <c r="D14" s="9" t="n">
        <v>112</v>
      </c>
      <c r="E14" s="11" t="inlineStr">
        <is>
          <t>Q1</t>
        </is>
      </c>
      <c r="F14" s="11" t="inlineStr">
        <is>
          <t>2023-01-01 to 2023-03-31</t>
        </is>
      </c>
      <c r="G14" s="11" t="inlineStr">
        <is>
          <t>Category A1</t>
        </is>
      </c>
      <c r="H14" s="10" t="inlineStr">
        <is>
          <t>Fatal accidents (death on scene or within 24 hours)</t>
        </is>
      </c>
      <c r="I14" s="12" t="n">
        <v>1</v>
      </c>
      <c r="J14" s="12" t="n">
        <v>1</v>
      </c>
      <c r="K14" s="12" t="n">
        <v>0</v>
      </c>
      <c r="L14" s="12">
        <f>J14+K14</f>
        <v/>
      </c>
      <c r="M14" s="11" t="inlineStr">
        <is>
          <t>66000</t>
        </is>
      </c>
      <c r="N14" s="11" t="inlineStr">
        <is>
          <t>(04)23274275</t>
        </is>
      </c>
      <c r="O14" s="10" t="inlineStr">
        <is>
          <t>Taichung City Delivery Driver Traffic Accident Statistics - 2023 Q1 (ROC 112)</t>
        </is>
      </c>
      <c r="P14" s="11" t="inlineStr">
        <is>
          <t>0cb2aa2f-838b-4d09-bd08-bd90844acf74</t>
        </is>
      </c>
    </row>
    <row r="15" ht="20" customHeight="1">
      <c r="A15" s="4" t="n">
        <v>11</v>
      </c>
      <c r="B15" s="6" t="inlineStr">
        <is>
          <t>2023 Q1</t>
        </is>
      </c>
      <c r="C15" s="25" t="n">
        <v>2023</v>
      </c>
      <c r="D15" s="4" t="n">
        <v>112</v>
      </c>
      <c r="E15" s="6" t="inlineStr">
        <is>
          <t>Q1</t>
        </is>
      </c>
      <c r="F15" s="6" t="inlineStr">
        <is>
          <t>2023-01-01 to 2023-03-31</t>
        </is>
      </c>
      <c r="G15" s="6" t="inlineStr">
        <is>
          <t>Category A2</t>
        </is>
      </c>
      <c r="H15" s="5" t="inlineStr">
        <is>
          <t>Injury accidents (injury or death after 24 hours)</t>
        </is>
      </c>
      <c r="I15" s="7" t="n">
        <v>348</v>
      </c>
      <c r="J15" s="7" t="n">
        <v>0</v>
      </c>
      <c r="K15" s="7" t="n">
        <v>518</v>
      </c>
      <c r="L15" s="7">
        <f>J15+K15</f>
        <v/>
      </c>
      <c r="M15" s="6" t="inlineStr">
        <is>
          <t>66000</t>
        </is>
      </c>
      <c r="N15" s="6" t="inlineStr">
        <is>
          <t>(04)23274275</t>
        </is>
      </c>
      <c r="O15" s="5" t="inlineStr">
        <is>
          <t>Taichung City Delivery Driver Traffic Accident Statistics - 2023 Q1 (ROC 112)</t>
        </is>
      </c>
      <c r="P15" s="6" t="inlineStr">
        <is>
          <t>0cb2aa2f-838b-4d09-bd08-bd90844acf74</t>
        </is>
      </c>
    </row>
    <row r="16" ht="20" customHeight="1">
      <c r="A16" s="9" t="n">
        <v>12</v>
      </c>
      <c r="B16" s="11" t="inlineStr">
        <is>
          <t>2023 Q1</t>
        </is>
      </c>
      <c r="C16" s="24" t="n">
        <v>2023</v>
      </c>
      <c r="D16" s="9" t="n">
        <v>112</v>
      </c>
      <c r="E16" s="11" t="inlineStr">
        <is>
          <t>Q1</t>
        </is>
      </c>
      <c r="F16" s="11" t="inlineStr">
        <is>
          <t>2023-01-01 to 2023-03-31</t>
        </is>
      </c>
      <c r="G16" s="11" t="inlineStr">
        <is>
          <t>Category A3</t>
        </is>
      </c>
      <c r="H16" s="10" t="inlineStr">
        <is>
          <t>Property / vehicle damage only (no casualty)</t>
        </is>
      </c>
      <c r="I16" s="12" t="n">
        <v>84</v>
      </c>
      <c r="J16" s="12" t="n">
        <v>0</v>
      </c>
      <c r="K16" s="12" t="n">
        <v>0</v>
      </c>
      <c r="L16" s="12">
        <f>J16+K16</f>
        <v/>
      </c>
      <c r="M16" s="11" t="inlineStr">
        <is>
          <t>66000</t>
        </is>
      </c>
      <c r="N16" s="11" t="inlineStr">
        <is>
          <t>(04)23274275</t>
        </is>
      </c>
      <c r="O16" s="10" t="inlineStr">
        <is>
          <t>Taichung City Delivery Driver Traffic Accident Statistics - 2023 Q1 (ROC 112)</t>
        </is>
      </c>
      <c r="P16" s="11" t="inlineStr">
        <is>
          <t>0cb2aa2f-838b-4d09-bd08-bd90844acf74</t>
        </is>
      </c>
    </row>
    <row r="17" ht="20" customHeight="1">
      <c r="A17" s="19" t="n">
        <v>13</v>
      </c>
      <c r="B17" s="20" t="inlineStr">
        <is>
          <t>2023 Q2</t>
        </is>
      </c>
      <c r="C17" s="21" t="n">
        <v>2023</v>
      </c>
      <c r="D17" s="19" t="n">
        <v>112</v>
      </c>
      <c r="E17" s="20" t="inlineStr">
        <is>
          <t>Q2</t>
        </is>
      </c>
      <c r="F17" s="20" t="inlineStr">
        <is>
          <t>2023-04-01 to 2023-06-30</t>
        </is>
      </c>
      <c r="G17" s="20" t="inlineStr">
        <is>
          <t>Total</t>
        </is>
      </c>
      <c r="H17" s="22" t="inlineStr">
        <is>
          <t>Total of all traffic accident categories</t>
        </is>
      </c>
      <c r="I17" s="23" t="n">
        <v>365</v>
      </c>
      <c r="J17" s="23" t="n">
        <v>1</v>
      </c>
      <c r="K17" s="23" t="n">
        <v>392</v>
      </c>
      <c r="L17" s="23">
        <f>J17+K17</f>
        <v/>
      </c>
      <c r="M17" s="20" t="inlineStr">
        <is>
          <t>66000</t>
        </is>
      </c>
      <c r="N17" s="20" t="inlineStr">
        <is>
          <t>(04)23274275</t>
        </is>
      </c>
      <c r="O17" s="22" t="inlineStr">
        <is>
          <t>Taichung City Delivery Driver Traffic Accident Statistics - 2023 Q2 (ROC 112)</t>
        </is>
      </c>
      <c r="P17" s="20" t="inlineStr">
        <is>
          <t>c3d7c48c-4c27-45e0-b82e-9d91fd657b7a</t>
        </is>
      </c>
    </row>
    <row r="18" ht="20" customHeight="1">
      <c r="A18" s="9" t="n">
        <v>14</v>
      </c>
      <c r="B18" s="11" t="inlineStr">
        <is>
          <t>2023 Q2</t>
        </is>
      </c>
      <c r="C18" s="24" t="n">
        <v>2023</v>
      </c>
      <c r="D18" s="9" t="n">
        <v>112</v>
      </c>
      <c r="E18" s="11" t="inlineStr">
        <is>
          <t>Q2</t>
        </is>
      </c>
      <c r="F18" s="11" t="inlineStr">
        <is>
          <t>2023-04-01 to 2023-06-30</t>
        </is>
      </c>
      <c r="G18" s="11" t="inlineStr">
        <is>
          <t>Category A1</t>
        </is>
      </c>
      <c r="H18" s="10" t="inlineStr">
        <is>
          <t>Fatal accidents (death on scene or within 24 hours)</t>
        </is>
      </c>
      <c r="I18" s="12" t="n">
        <v>1</v>
      </c>
      <c r="J18" s="12" t="n">
        <v>1</v>
      </c>
      <c r="K18" s="12" t="n">
        <v>0</v>
      </c>
      <c r="L18" s="12">
        <f>J18+K18</f>
        <v/>
      </c>
      <c r="M18" s="11" t="inlineStr">
        <is>
          <t>66000</t>
        </is>
      </c>
      <c r="N18" s="11" t="inlineStr">
        <is>
          <t>(04)23274275</t>
        </is>
      </c>
      <c r="O18" s="10" t="inlineStr">
        <is>
          <t>Taichung City Delivery Driver Traffic Accident Statistics - 2023 Q2 (ROC 112)</t>
        </is>
      </c>
      <c r="P18" s="11" t="inlineStr">
        <is>
          <t>c3d7c48c-4c27-45e0-b82e-9d91fd657b7a</t>
        </is>
      </c>
    </row>
    <row r="19" ht="20" customHeight="1">
      <c r="A19" s="4" t="n">
        <v>15</v>
      </c>
      <c r="B19" s="6" t="inlineStr">
        <is>
          <t>2023 Q2</t>
        </is>
      </c>
      <c r="C19" s="25" t="n">
        <v>2023</v>
      </c>
      <c r="D19" s="4" t="n">
        <v>112</v>
      </c>
      <c r="E19" s="6" t="inlineStr">
        <is>
          <t>Q2</t>
        </is>
      </c>
      <c r="F19" s="6" t="inlineStr">
        <is>
          <t>2023-04-01 to 2023-06-30</t>
        </is>
      </c>
      <c r="G19" s="6" t="inlineStr">
        <is>
          <t>Category A2</t>
        </is>
      </c>
      <c r="H19" s="5" t="inlineStr">
        <is>
          <t>Injury accidents (injury or death after 24 hours)</t>
        </is>
      </c>
      <c r="I19" s="7" t="n">
        <v>285</v>
      </c>
      <c r="J19" s="7" t="n">
        <v>0</v>
      </c>
      <c r="K19" s="7" t="n">
        <v>392</v>
      </c>
      <c r="L19" s="7">
        <f>J19+K19</f>
        <v/>
      </c>
      <c r="M19" s="6" t="inlineStr">
        <is>
          <t>66000</t>
        </is>
      </c>
      <c r="N19" s="6" t="inlineStr">
        <is>
          <t>(04)23274275</t>
        </is>
      </c>
      <c r="O19" s="5" t="inlineStr">
        <is>
          <t>Taichung City Delivery Driver Traffic Accident Statistics - 2023 Q2 (ROC 112)</t>
        </is>
      </c>
      <c r="P19" s="6" t="inlineStr">
        <is>
          <t>c3d7c48c-4c27-45e0-b82e-9d91fd657b7a</t>
        </is>
      </c>
    </row>
    <row r="20" ht="20" customHeight="1">
      <c r="A20" s="9" t="n">
        <v>16</v>
      </c>
      <c r="B20" s="11" t="inlineStr">
        <is>
          <t>2023 Q2</t>
        </is>
      </c>
      <c r="C20" s="24" t="n">
        <v>2023</v>
      </c>
      <c r="D20" s="9" t="n">
        <v>112</v>
      </c>
      <c r="E20" s="11" t="inlineStr">
        <is>
          <t>Q2</t>
        </is>
      </c>
      <c r="F20" s="11" t="inlineStr">
        <is>
          <t>2023-04-01 to 2023-06-30</t>
        </is>
      </c>
      <c r="G20" s="11" t="inlineStr">
        <is>
          <t>Category A3</t>
        </is>
      </c>
      <c r="H20" s="10" t="inlineStr">
        <is>
          <t>Property / vehicle damage only (no casualty)</t>
        </is>
      </c>
      <c r="I20" s="12" t="n">
        <v>79</v>
      </c>
      <c r="J20" s="12" t="n">
        <v>0</v>
      </c>
      <c r="K20" s="12" t="n">
        <v>0</v>
      </c>
      <c r="L20" s="12">
        <f>J20+K20</f>
        <v/>
      </c>
      <c r="M20" s="11" t="inlineStr">
        <is>
          <t>66000</t>
        </is>
      </c>
      <c r="N20" s="11" t="inlineStr">
        <is>
          <t>(04)23274275</t>
        </is>
      </c>
      <c r="O20" s="10" t="inlineStr">
        <is>
          <t>Taichung City Delivery Driver Traffic Accident Statistics - 2023 Q2 (ROC 112)</t>
        </is>
      </c>
      <c r="P20" s="11" t="inlineStr">
        <is>
          <t>c3d7c48c-4c27-45e0-b82e-9d91fd657b7a</t>
        </is>
      </c>
    </row>
    <row r="21" ht="20" customHeight="1">
      <c r="A21" s="19" t="n">
        <v>17</v>
      </c>
      <c r="B21" s="20" t="inlineStr">
        <is>
          <t>2023 Q3</t>
        </is>
      </c>
      <c r="C21" s="21" t="n">
        <v>2023</v>
      </c>
      <c r="D21" s="19" t="n">
        <v>112</v>
      </c>
      <c r="E21" s="20" t="inlineStr">
        <is>
          <t>Q3</t>
        </is>
      </c>
      <c r="F21" s="20" t="inlineStr">
        <is>
          <t>2023-07-01 to 2023-09-30</t>
        </is>
      </c>
      <c r="G21" s="20" t="inlineStr">
        <is>
          <t>Total</t>
        </is>
      </c>
      <c r="H21" s="22" t="inlineStr">
        <is>
          <t>Total of all traffic accident categories</t>
        </is>
      </c>
      <c r="I21" s="23" t="n">
        <v>670</v>
      </c>
      <c r="J21" s="23" t="n">
        <v>1</v>
      </c>
      <c r="K21" s="23" t="n">
        <v>688</v>
      </c>
      <c r="L21" s="23">
        <f>J21+K21</f>
        <v/>
      </c>
      <c r="M21" s="20" t="inlineStr">
        <is>
          <t>66000</t>
        </is>
      </c>
      <c r="N21" s="20" t="inlineStr">
        <is>
          <t>(04)23274275</t>
        </is>
      </c>
      <c r="O21" s="22" t="inlineStr">
        <is>
          <t>Taichung City Delivery Driver Traffic Accident Statistics - 2023 Q3 (ROC 112)</t>
        </is>
      </c>
      <c r="P21" s="20" t="inlineStr">
        <is>
          <t>a7b714cd-6b6b-4726-9949-f56a7a503d19</t>
        </is>
      </c>
    </row>
    <row r="22" ht="20" customHeight="1">
      <c r="A22" s="9" t="n">
        <v>18</v>
      </c>
      <c r="B22" s="11" t="inlineStr">
        <is>
          <t>2023 Q3</t>
        </is>
      </c>
      <c r="C22" s="24" t="n">
        <v>2023</v>
      </c>
      <c r="D22" s="9" t="n">
        <v>112</v>
      </c>
      <c r="E22" s="11" t="inlineStr">
        <is>
          <t>Q3</t>
        </is>
      </c>
      <c r="F22" s="11" t="inlineStr">
        <is>
          <t>2023-07-01 to 2023-09-30</t>
        </is>
      </c>
      <c r="G22" s="11" t="inlineStr">
        <is>
          <t>Category A1</t>
        </is>
      </c>
      <c r="H22" s="10" t="inlineStr">
        <is>
          <t>Fatal accidents (death on scene or within 24 hours)</t>
        </is>
      </c>
      <c r="I22" s="12" t="n">
        <v>1</v>
      </c>
      <c r="J22" s="12" t="n">
        <v>1</v>
      </c>
      <c r="K22" s="12" t="n">
        <v>0</v>
      </c>
      <c r="L22" s="12">
        <f>J22+K22</f>
        <v/>
      </c>
      <c r="M22" s="11" t="inlineStr">
        <is>
          <t>66000</t>
        </is>
      </c>
      <c r="N22" s="11" t="inlineStr">
        <is>
          <t>(04)23274275</t>
        </is>
      </c>
      <c r="O22" s="10" t="inlineStr">
        <is>
          <t>Taichung City Delivery Driver Traffic Accident Statistics - 2023 Q3 (ROC 112)</t>
        </is>
      </c>
      <c r="P22" s="11" t="inlineStr">
        <is>
          <t>a7b714cd-6b6b-4726-9949-f56a7a503d19</t>
        </is>
      </c>
    </row>
    <row r="23" ht="20" customHeight="1">
      <c r="A23" s="4" t="n">
        <v>19</v>
      </c>
      <c r="B23" s="6" t="inlineStr">
        <is>
          <t>2023 Q3</t>
        </is>
      </c>
      <c r="C23" s="25" t="n">
        <v>2023</v>
      </c>
      <c r="D23" s="4" t="n">
        <v>112</v>
      </c>
      <c r="E23" s="6" t="inlineStr">
        <is>
          <t>Q3</t>
        </is>
      </c>
      <c r="F23" s="6" t="inlineStr">
        <is>
          <t>2023-07-01 to 2023-09-30</t>
        </is>
      </c>
      <c r="G23" s="6" t="inlineStr">
        <is>
          <t>Category A2</t>
        </is>
      </c>
      <c r="H23" s="5" t="inlineStr">
        <is>
          <t>Injury accidents (injury or death after 24 hours)</t>
        </is>
      </c>
      <c r="I23" s="7" t="n">
        <v>501</v>
      </c>
      <c r="J23" s="7" t="n">
        <v>0</v>
      </c>
      <c r="K23" s="7" t="n">
        <v>688</v>
      </c>
      <c r="L23" s="7">
        <f>J23+K23</f>
        <v/>
      </c>
      <c r="M23" s="6" t="inlineStr">
        <is>
          <t>66000</t>
        </is>
      </c>
      <c r="N23" s="6" t="inlineStr">
        <is>
          <t>(04)23274275</t>
        </is>
      </c>
      <c r="O23" s="5" t="inlineStr">
        <is>
          <t>Taichung City Delivery Driver Traffic Accident Statistics - 2023 Q3 (ROC 112)</t>
        </is>
      </c>
      <c r="P23" s="6" t="inlineStr">
        <is>
          <t>a7b714cd-6b6b-4726-9949-f56a7a503d19</t>
        </is>
      </c>
    </row>
    <row r="24" ht="20" customHeight="1">
      <c r="A24" s="9" t="n">
        <v>20</v>
      </c>
      <c r="B24" s="11" t="inlineStr">
        <is>
          <t>2023 Q3</t>
        </is>
      </c>
      <c r="C24" s="24" t="n">
        <v>2023</v>
      </c>
      <c r="D24" s="9" t="n">
        <v>112</v>
      </c>
      <c r="E24" s="11" t="inlineStr">
        <is>
          <t>Q3</t>
        </is>
      </c>
      <c r="F24" s="11" t="inlineStr">
        <is>
          <t>2023-07-01 to 2023-09-30</t>
        </is>
      </c>
      <c r="G24" s="11" t="inlineStr">
        <is>
          <t>Category A3</t>
        </is>
      </c>
      <c r="H24" s="10" t="inlineStr">
        <is>
          <t>Property / vehicle damage only (no casualty)</t>
        </is>
      </c>
      <c r="I24" s="12" t="n">
        <v>168</v>
      </c>
      <c r="J24" s="12" t="n">
        <v>0</v>
      </c>
      <c r="K24" s="12" t="n">
        <v>0</v>
      </c>
      <c r="L24" s="12">
        <f>J24+K24</f>
        <v/>
      </c>
      <c r="M24" s="11" t="inlineStr">
        <is>
          <t>66000</t>
        </is>
      </c>
      <c r="N24" s="11" t="inlineStr">
        <is>
          <t>(04)23274275</t>
        </is>
      </c>
      <c r="O24" s="10" t="inlineStr">
        <is>
          <t>Taichung City Delivery Driver Traffic Accident Statistics - 2023 Q3 (ROC 112)</t>
        </is>
      </c>
      <c r="P24" s="11" t="inlineStr">
        <is>
          <t>a7b714cd-6b6b-4726-9949-f56a7a503d19</t>
        </is>
      </c>
    </row>
    <row r="25" ht="20" customHeight="1">
      <c r="A25" s="19" t="n">
        <v>21</v>
      </c>
      <c r="B25" s="20" t="inlineStr">
        <is>
          <t>2023 Q4</t>
        </is>
      </c>
      <c r="C25" s="21" t="n">
        <v>2023</v>
      </c>
      <c r="D25" s="19" t="n">
        <v>112</v>
      </c>
      <c r="E25" s="20" t="inlineStr">
        <is>
          <t>Q4</t>
        </is>
      </c>
      <c r="F25" s="20" t="inlineStr">
        <is>
          <t>2023-10-01 to 2023-12-31</t>
        </is>
      </c>
      <c r="G25" s="20" t="inlineStr">
        <is>
          <t>Total</t>
        </is>
      </c>
      <c r="H25" s="22" t="inlineStr">
        <is>
          <t>Total of all traffic accident categories</t>
        </is>
      </c>
      <c r="I25" s="23" t="n">
        <v>537</v>
      </c>
      <c r="J25" s="23" t="n">
        <v>0</v>
      </c>
      <c r="K25" s="23" t="n">
        <v>596</v>
      </c>
      <c r="L25" s="23">
        <f>J25+K25</f>
        <v/>
      </c>
      <c r="M25" s="20" t="inlineStr">
        <is>
          <t>66000</t>
        </is>
      </c>
      <c r="N25" s="20" t="inlineStr">
        <is>
          <t>(04)23274275</t>
        </is>
      </c>
      <c r="O25" s="22" t="inlineStr">
        <is>
          <t>Taichung City Delivery Driver Traffic Accident Statistics - 2023 Q4 (ROC 112)</t>
        </is>
      </c>
      <c r="P25" s="20" t="inlineStr">
        <is>
          <t>14222666-180a-4bf0-bf7e-f8bdf4def18c</t>
        </is>
      </c>
    </row>
    <row r="26" ht="20" customHeight="1">
      <c r="A26" s="9" t="n">
        <v>22</v>
      </c>
      <c r="B26" s="11" t="inlineStr">
        <is>
          <t>2023 Q4</t>
        </is>
      </c>
      <c r="C26" s="24" t="n">
        <v>2023</v>
      </c>
      <c r="D26" s="9" t="n">
        <v>112</v>
      </c>
      <c r="E26" s="11" t="inlineStr">
        <is>
          <t>Q4</t>
        </is>
      </c>
      <c r="F26" s="11" t="inlineStr">
        <is>
          <t>2023-10-01 to 2023-12-31</t>
        </is>
      </c>
      <c r="G26" s="11" t="inlineStr">
        <is>
          <t>Category A1</t>
        </is>
      </c>
      <c r="H26" s="10" t="inlineStr">
        <is>
          <t>Fatal accidents (death on scene or within 24 hours)</t>
        </is>
      </c>
      <c r="I26" s="12" t="n">
        <v>0</v>
      </c>
      <c r="J26" s="12" t="n">
        <v>0</v>
      </c>
      <c r="K26" s="12" t="n">
        <v>0</v>
      </c>
      <c r="L26" s="12">
        <f>J26+K26</f>
        <v/>
      </c>
      <c r="M26" s="11" t="inlineStr">
        <is>
          <t>66000</t>
        </is>
      </c>
      <c r="N26" s="11" t="inlineStr">
        <is>
          <t>(04)23274275</t>
        </is>
      </c>
      <c r="O26" s="10" t="inlineStr">
        <is>
          <t>Taichung City Delivery Driver Traffic Accident Statistics - 2023 Q4 (ROC 112)</t>
        </is>
      </c>
      <c r="P26" s="11" t="inlineStr">
        <is>
          <t>14222666-180a-4bf0-bf7e-f8bdf4def18c</t>
        </is>
      </c>
    </row>
    <row r="27" ht="20" customHeight="1">
      <c r="A27" s="4" t="n">
        <v>23</v>
      </c>
      <c r="B27" s="6" t="inlineStr">
        <is>
          <t>2023 Q4</t>
        </is>
      </c>
      <c r="C27" s="25" t="n">
        <v>2023</v>
      </c>
      <c r="D27" s="4" t="n">
        <v>112</v>
      </c>
      <c r="E27" s="6" t="inlineStr">
        <is>
          <t>Q4</t>
        </is>
      </c>
      <c r="F27" s="6" t="inlineStr">
        <is>
          <t>2023-10-01 to 2023-12-31</t>
        </is>
      </c>
      <c r="G27" s="6" t="inlineStr">
        <is>
          <t>Category A2</t>
        </is>
      </c>
      <c r="H27" s="5" t="inlineStr">
        <is>
          <t>Injury accidents (injury or death after 24 hours)</t>
        </is>
      </c>
      <c r="I27" s="7" t="n">
        <v>427</v>
      </c>
      <c r="J27" s="7" t="n">
        <v>0</v>
      </c>
      <c r="K27" s="7" t="n">
        <v>596</v>
      </c>
      <c r="L27" s="7">
        <f>J27+K27</f>
        <v/>
      </c>
      <c r="M27" s="6" t="inlineStr">
        <is>
          <t>66000</t>
        </is>
      </c>
      <c r="N27" s="6" t="inlineStr">
        <is>
          <t>(04)23274275</t>
        </is>
      </c>
      <c r="O27" s="5" t="inlineStr">
        <is>
          <t>Taichung City Delivery Driver Traffic Accident Statistics - 2023 Q4 (ROC 112)</t>
        </is>
      </c>
      <c r="P27" s="6" t="inlineStr">
        <is>
          <t>14222666-180a-4bf0-bf7e-f8bdf4def18c</t>
        </is>
      </c>
    </row>
    <row r="28" ht="20" customHeight="1">
      <c r="A28" s="9" t="n">
        <v>24</v>
      </c>
      <c r="B28" s="11" t="inlineStr">
        <is>
          <t>2023 Q4</t>
        </is>
      </c>
      <c r="C28" s="24" t="n">
        <v>2023</v>
      </c>
      <c r="D28" s="9" t="n">
        <v>112</v>
      </c>
      <c r="E28" s="11" t="inlineStr">
        <is>
          <t>Q4</t>
        </is>
      </c>
      <c r="F28" s="11" t="inlineStr">
        <is>
          <t>2023-10-01 to 2023-12-31</t>
        </is>
      </c>
      <c r="G28" s="11" t="inlineStr">
        <is>
          <t>Category A3</t>
        </is>
      </c>
      <c r="H28" s="10" t="inlineStr">
        <is>
          <t>Property / vehicle damage only (no casualty)</t>
        </is>
      </c>
      <c r="I28" s="12" t="n">
        <v>110</v>
      </c>
      <c r="J28" s="12" t="n">
        <v>0</v>
      </c>
      <c r="K28" s="12" t="n">
        <v>0</v>
      </c>
      <c r="L28" s="12">
        <f>J28+K28</f>
        <v/>
      </c>
      <c r="M28" s="11" t="inlineStr">
        <is>
          <t>66000</t>
        </is>
      </c>
      <c r="N28" s="11" t="inlineStr">
        <is>
          <t>(04)23274275</t>
        </is>
      </c>
      <c r="O28" s="10" t="inlineStr">
        <is>
          <t>Taichung City Delivery Driver Traffic Accident Statistics - 2023 Q4 (ROC 112)</t>
        </is>
      </c>
      <c r="P28" s="11" t="inlineStr">
        <is>
          <t>14222666-180a-4bf0-bf7e-f8bdf4def18c</t>
        </is>
      </c>
    </row>
    <row r="29" ht="20" customHeight="1">
      <c r="A29" s="19" t="n">
        <v>25</v>
      </c>
      <c r="B29" s="20" t="inlineStr">
        <is>
          <t>2024 Q1</t>
        </is>
      </c>
      <c r="C29" s="21" t="n">
        <v>2024</v>
      </c>
      <c r="D29" s="19" t="n">
        <v>113</v>
      </c>
      <c r="E29" s="20" t="inlineStr">
        <is>
          <t>Q1</t>
        </is>
      </c>
      <c r="F29" s="20" t="inlineStr">
        <is>
          <t>2024-01-01 to 2024-03-31</t>
        </is>
      </c>
      <c r="G29" s="20" t="inlineStr">
        <is>
          <t>Total</t>
        </is>
      </c>
      <c r="H29" s="22" t="inlineStr">
        <is>
          <t>Total of all traffic accident categories</t>
        </is>
      </c>
      <c r="I29" s="23" t="n">
        <v>569</v>
      </c>
      <c r="J29" s="23" t="n">
        <v>0</v>
      </c>
      <c r="K29" s="23" t="n">
        <v>594</v>
      </c>
      <c r="L29" s="23">
        <f>J29+K29</f>
        <v/>
      </c>
      <c r="M29" s="20" t="inlineStr">
        <is>
          <t>66000</t>
        </is>
      </c>
      <c r="N29" s="20" t="inlineStr">
        <is>
          <t>(04)23274275</t>
        </is>
      </c>
      <c r="O29" s="22" t="inlineStr">
        <is>
          <t>Taichung City Delivery Driver Traffic Accident Statistics - 2024 Q1 (ROC 113)</t>
        </is>
      </c>
      <c r="P29" s="20" t="inlineStr">
        <is>
          <t>cf7cf06b-60bf-47da-9729-0341883ed26c</t>
        </is>
      </c>
    </row>
    <row r="30" ht="20" customHeight="1">
      <c r="A30" s="9" t="n">
        <v>26</v>
      </c>
      <c r="B30" s="11" t="inlineStr">
        <is>
          <t>2024 Q1</t>
        </is>
      </c>
      <c r="C30" s="24" t="n">
        <v>2024</v>
      </c>
      <c r="D30" s="9" t="n">
        <v>113</v>
      </c>
      <c r="E30" s="11" t="inlineStr">
        <is>
          <t>Q1</t>
        </is>
      </c>
      <c r="F30" s="11" t="inlineStr">
        <is>
          <t>2024-01-01 to 2024-03-31</t>
        </is>
      </c>
      <c r="G30" s="11" t="inlineStr">
        <is>
          <t>Category A1</t>
        </is>
      </c>
      <c r="H30" s="10" t="inlineStr">
        <is>
          <t>Fatal accidents (death on scene or within 24 hours)</t>
        </is>
      </c>
      <c r="I30" s="12" t="n">
        <v>0</v>
      </c>
      <c r="J30" s="12" t="n">
        <v>0</v>
      </c>
      <c r="K30" s="12" t="n">
        <v>0</v>
      </c>
      <c r="L30" s="12">
        <f>J30+K30</f>
        <v/>
      </c>
      <c r="M30" s="11" t="inlineStr">
        <is>
          <t>66000</t>
        </is>
      </c>
      <c r="N30" s="11" t="inlineStr">
        <is>
          <t>(04)23274275</t>
        </is>
      </c>
      <c r="O30" s="10" t="inlineStr">
        <is>
          <t>Taichung City Delivery Driver Traffic Accident Statistics - 2024 Q1 (ROC 113)</t>
        </is>
      </c>
      <c r="P30" s="11" t="inlineStr">
        <is>
          <t>cf7cf06b-60bf-47da-9729-0341883ed26c</t>
        </is>
      </c>
    </row>
    <row r="31" ht="20" customHeight="1">
      <c r="A31" s="4" t="n">
        <v>27</v>
      </c>
      <c r="B31" s="6" t="inlineStr">
        <is>
          <t>2024 Q1</t>
        </is>
      </c>
      <c r="C31" s="25" t="n">
        <v>2024</v>
      </c>
      <c r="D31" s="4" t="n">
        <v>113</v>
      </c>
      <c r="E31" s="6" t="inlineStr">
        <is>
          <t>Q1</t>
        </is>
      </c>
      <c r="F31" s="6" t="inlineStr">
        <is>
          <t>2024-01-01 to 2024-03-31</t>
        </is>
      </c>
      <c r="G31" s="6" t="inlineStr">
        <is>
          <t>Category A2</t>
        </is>
      </c>
      <c r="H31" s="5" t="inlineStr">
        <is>
          <t>Injury accidents (injury or death after 24 hours)</t>
        </is>
      </c>
      <c r="I31" s="7" t="n">
        <v>429</v>
      </c>
      <c r="J31" s="7" t="n">
        <v>0</v>
      </c>
      <c r="K31" s="7" t="n">
        <v>594</v>
      </c>
      <c r="L31" s="7">
        <f>J31+K31</f>
        <v/>
      </c>
      <c r="M31" s="6" t="inlineStr">
        <is>
          <t>66000</t>
        </is>
      </c>
      <c r="N31" s="6" t="inlineStr">
        <is>
          <t>(04)23274275</t>
        </is>
      </c>
      <c r="O31" s="5" t="inlineStr">
        <is>
          <t>Taichung City Delivery Driver Traffic Accident Statistics - 2024 Q1 (ROC 113)</t>
        </is>
      </c>
      <c r="P31" s="6" t="inlineStr">
        <is>
          <t>cf7cf06b-60bf-47da-9729-0341883ed26c</t>
        </is>
      </c>
    </row>
    <row r="32" ht="20" customHeight="1">
      <c r="A32" s="9" t="n">
        <v>28</v>
      </c>
      <c r="B32" s="11" t="inlineStr">
        <is>
          <t>2024 Q1</t>
        </is>
      </c>
      <c r="C32" s="24" t="n">
        <v>2024</v>
      </c>
      <c r="D32" s="9" t="n">
        <v>113</v>
      </c>
      <c r="E32" s="11" t="inlineStr">
        <is>
          <t>Q1</t>
        </is>
      </c>
      <c r="F32" s="11" t="inlineStr">
        <is>
          <t>2024-01-01 to 2024-03-31</t>
        </is>
      </c>
      <c r="G32" s="11" t="inlineStr">
        <is>
          <t>Category A3</t>
        </is>
      </c>
      <c r="H32" s="10" t="inlineStr">
        <is>
          <t>Property / vehicle damage only (no casualty)</t>
        </is>
      </c>
      <c r="I32" s="12" t="n">
        <v>140</v>
      </c>
      <c r="J32" s="12" t="n">
        <v>0</v>
      </c>
      <c r="K32" s="12" t="n">
        <v>0</v>
      </c>
      <c r="L32" s="12">
        <f>J32+K32</f>
        <v/>
      </c>
      <c r="M32" s="11" t="inlineStr">
        <is>
          <t>66000</t>
        </is>
      </c>
      <c r="N32" s="11" t="inlineStr">
        <is>
          <t>(04)23274275</t>
        </is>
      </c>
      <c r="O32" s="10" t="inlineStr">
        <is>
          <t>Taichung City Delivery Driver Traffic Accident Statistics - 2024 Q1 (ROC 113)</t>
        </is>
      </c>
      <c r="P32" s="11" t="inlineStr">
        <is>
          <t>cf7cf06b-60bf-47da-9729-0341883ed26c</t>
        </is>
      </c>
    </row>
    <row r="33" ht="20" customHeight="1">
      <c r="A33" s="19" t="n">
        <v>29</v>
      </c>
      <c r="B33" s="20" t="inlineStr">
        <is>
          <t>2024 Q2</t>
        </is>
      </c>
      <c r="C33" s="21" t="n">
        <v>2024</v>
      </c>
      <c r="D33" s="19" t="n">
        <v>113</v>
      </c>
      <c r="E33" s="20" t="inlineStr">
        <is>
          <t>Q2</t>
        </is>
      </c>
      <c r="F33" s="20" t="inlineStr">
        <is>
          <t>2024-04-01 to 2024-06-30</t>
        </is>
      </c>
      <c r="G33" s="20" t="inlineStr">
        <is>
          <t>Total</t>
        </is>
      </c>
      <c r="H33" s="22" t="inlineStr">
        <is>
          <t>Total of all traffic accident categories</t>
        </is>
      </c>
      <c r="I33" s="23" t="n">
        <v>420</v>
      </c>
      <c r="J33" s="23" t="n">
        <v>1</v>
      </c>
      <c r="K33" s="23" t="n">
        <v>432</v>
      </c>
      <c r="L33" s="23">
        <f>J33+K33</f>
        <v/>
      </c>
      <c r="M33" s="20" t="inlineStr">
        <is>
          <t>66000</t>
        </is>
      </c>
      <c r="N33" s="20" t="inlineStr">
        <is>
          <t>(04)23274275</t>
        </is>
      </c>
      <c r="O33" s="22" t="inlineStr">
        <is>
          <t>Taichung City Delivery Driver Traffic Accident Statistics - 2024 Q2 (ROC 113)</t>
        </is>
      </c>
      <c r="P33" s="20" t="inlineStr">
        <is>
          <t>ffd48cfb-e697-4af8-bea5-159832e961ca</t>
        </is>
      </c>
    </row>
    <row r="34" ht="20" customHeight="1">
      <c r="A34" s="9" t="n">
        <v>30</v>
      </c>
      <c r="B34" s="11" t="inlineStr">
        <is>
          <t>2024 Q2</t>
        </is>
      </c>
      <c r="C34" s="24" t="n">
        <v>2024</v>
      </c>
      <c r="D34" s="9" t="n">
        <v>113</v>
      </c>
      <c r="E34" s="11" t="inlineStr">
        <is>
          <t>Q2</t>
        </is>
      </c>
      <c r="F34" s="11" t="inlineStr">
        <is>
          <t>2024-04-01 to 2024-06-30</t>
        </is>
      </c>
      <c r="G34" s="11" t="inlineStr">
        <is>
          <t>Category A1</t>
        </is>
      </c>
      <c r="H34" s="10" t="inlineStr">
        <is>
          <t>Fatal accidents (death on scene or within 24 hours)</t>
        </is>
      </c>
      <c r="I34" s="12" t="n">
        <v>1</v>
      </c>
      <c r="J34" s="12" t="n">
        <v>1</v>
      </c>
      <c r="K34" s="12" t="n">
        <v>1</v>
      </c>
      <c r="L34" s="12">
        <f>J34+K34</f>
        <v/>
      </c>
      <c r="M34" s="11" t="inlineStr">
        <is>
          <t>66000</t>
        </is>
      </c>
      <c r="N34" s="11" t="inlineStr">
        <is>
          <t>(04)23274275</t>
        </is>
      </c>
      <c r="O34" s="10" t="inlineStr">
        <is>
          <t>Taichung City Delivery Driver Traffic Accident Statistics - 2024 Q2 (ROC 113)</t>
        </is>
      </c>
      <c r="P34" s="11" t="inlineStr">
        <is>
          <t>ffd48cfb-e697-4af8-bea5-159832e961ca</t>
        </is>
      </c>
    </row>
    <row r="35" ht="20" customHeight="1">
      <c r="A35" s="4" t="n">
        <v>31</v>
      </c>
      <c r="B35" s="6" t="inlineStr">
        <is>
          <t>2024 Q2</t>
        </is>
      </c>
      <c r="C35" s="25" t="n">
        <v>2024</v>
      </c>
      <c r="D35" s="4" t="n">
        <v>113</v>
      </c>
      <c r="E35" s="6" t="inlineStr">
        <is>
          <t>Q2</t>
        </is>
      </c>
      <c r="F35" s="6" t="inlineStr">
        <is>
          <t>2024-04-01 to 2024-06-30</t>
        </is>
      </c>
      <c r="G35" s="6" t="inlineStr">
        <is>
          <t>Category A2</t>
        </is>
      </c>
      <c r="H35" s="5" t="inlineStr">
        <is>
          <t>Injury accidents (injury or death after 24 hours)</t>
        </is>
      </c>
      <c r="I35" s="7" t="n">
        <v>314</v>
      </c>
      <c r="J35" s="7" t="n">
        <v>0</v>
      </c>
      <c r="K35" s="7" t="n">
        <v>431</v>
      </c>
      <c r="L35" s="7">
        <f>J35+K35</f>
        <v/>
      </c>
      <c r="M35" s="6" t="inlineStr">
        <is>
          <t>66000</t>
        </is>
      </c>
      <c r="N35" s="6" t="inlineStr">
        <is>
          <t>(04)23274275</t>
        </is>
      </c>
      <c r="O35" s="5" t="inlineStr">
        <is>
          <t>Taichung City Delivery Driver Traffic Accident Statistics - 2024 Q2 (ROC 113)</t>
        </is>
      </c>
      <c r="P35" s="6" t="inlineStr">
        <is>
          <t>ffd48cfb-e697-4af8-bea5-159832e961ca</t>
        </is>
      </c>
    </row>
    <row r="36" ht="20" customHeight="1">
      <c r="A36" s="9" t="n">
        <v>32</v>
      </c>
      <c r="B36" s="11" t="inlineStr">
        <is>
          <t>2024 Q2</t>
        </is>
      </c>
      <c r="C36" s="24" t="n">
        <v>2024</v>
      </c>
      <c r="D36" s="9" t="n">
        <v>113</v>
      </c>
      <c r="E36" s="11" t="inlineStr">
        <is>
          <t>Q2</t>
        </is>
      </c>
      <c r="F36" s="11" t="inlineStr">
        <is>
          <t>2024-04-01 to 2024-06-30</t>
        </is>
      </c>
      <c r="G36" s="11" t="inlineStr">
        <is>
          <t>Category A3</t>
        </is>
      </c>
      <c r="H36" s="10" t="inlineStr">
        <is>
          <t>Property / vehicle damage only (no casualty)</t>
        </is>
      </c>
      <c r="I36" s="12" t="n">
        <v>105</v>
      </c>
      <c r="J36" s="12" t="n">
        <v>0</v>
      </c>
      <c r="K36" s="12" t="n">
        <v>0</v>
      </c>
      <c r="L36" s="12">
        <f>J36+K36</f>
        <v/>
      </c>
      <c r="M36" s="11" t="inlineStr">
        <is>
          <t>66000</t>
        </is>
      </c>
      <c r="N36" s="11" t="inlineStr">
        <is>
          <t>(04)23274275</t>
        </is>
      </c>
      <c r="O36" s="10" t="inlineStr">
        <is>
          <t>Taichung City Delivery Driver Traffic Accident Statistics - 2024 Q2 (ROC 113)</t>
        </is>
      </c>
      <c r="P36" s="11" t="inlineStr">
        <is>
          <t>ffd48cfb-e697-4af8-bea5-159832e961ca</t>
        </is>
      </c>
    </row>
    <row r="37" ht="20" customHeight="1">
      <c r="A37" s="19" t="n">
        <v>33</v>
      </c>
      <c r="B37" s="20" t="inlineStr">
        <is>
          <t>2024 Q3</t>
        </is>
      </c>
      <c r="C37" s="21" t="n">
        <v>2024</v>
      </c>
      <c r="D37" s="19" t="n">
        <v>113</v>
      </c>
      <c r="E37" s="20" t="inlineStr">
        <is>
          <t>Q3</t>
        </is>
      </c>
      <c r="F37" s="20" t="inlineStr">
        <is>
          <t>2024-07-01 to 2024-09-30</t>
        </is>
      </c>
      <c r="G37" s="20" t="inlineStr">
        <is>
          <t>Total</t>
        </is>
      </c>
      <c r="H37" s="22" t="inlineStr">
        <is>
          <t>Total of all traffic accident categories</t>
        </is>
      </c>
      <c r="I37" s="23" t="n">
        <v>479</v>
      </c>
      <c r="J37" s="23" t="n">
        <v>0</v>
      </c>
      <c r="K37" s="23" t="n">
        <v>493</v>
      </c>
      <c r="L37" s="23">
        <f>J37+K37</f>
        <v/>
      </c>
      <c r="M37" s="20" t="inlineStr">
        <is>
          <t>66000</t>
        </is>
      </c>
      <c r="N37" s="20" t="inlineStr">
        <is>
          <t>(04)23274275</t>
        </is>
      </c>
      <c r="O37" s="22" t="inlineStr">
        <is>
          <t>Taichung City Delivery Driver Traffic Accident Statistics - 2024 Q3 (ROC 113)</t>
        </is>
      </c>
      <c r="P37" s="20" t="inlineStr">
        <is>
          <t>b38b99b1-394b-4ebd-8536-6f9ec7cd4063</t>
        </is>
      </c>
    </row>
    <row r="38" ht="20" customHeight="1">
      <c r="A38" s="9" t="n">
        <v>34</v>
      </c>
      <c r="B38" s="11" t="inlineStr">
        <is>
          <t>2024 Q3</t>
        </is>
      </c>
      <c r="C38" s="24" t="n">
        <v>2024</v>
      </c>
      <c r="D38" s="9" t="n">
        <v>113</v>
      </c>
      <c r="E38" s="11" t="inlineStr">
        <is>
          <t>Q3</t>
        </is>
      </c>
      <c r="F38" s="11" t="inlineStr">
        <is>
          <t>2024-07-01 to 2024-09-30</t>
        </is>
      </c>
      <c r="G38" s="11" t="inlineStr">
        <is>
          <t>Category A1</t>
        </is>
      </c>
      <c r="H38" s="10" t="inlineStr">
        <is>
          <t>Fatal accidents (death on scene or within 24 hours)</t>
        </is>
      </c>
      <c r="I38" s="12" t="n">
        <v>0</v>
      </c>
      <c r="J38" s="12" t="n">
        <v>0</v>
      </c>
      <c r="K38" s="12" t="n">
        <v>0</v>
      </c>
      <c r="L38" s="12">
        <f>J38+K38</f>
        <v/>
      </c>
      <c r="M38" s="11" t="inlineStr">
        <is>
          <t>66000</t>
        </is>
      </c>
      <c r="N38" s="11" t="inlineStr">
        <is>
          <t>(04)23274275</t>
        </is>
      </c>
      <c r="O38" s="10" t="inlineStr">
        <is>
          <t>Taichung City Delivery Driver Traffic Accident Statistics - 2024 Q3 (ROC 113)</t>
        </is>
      </c>
      <c r="P38" s="11" t="inlineStr">
        <is>
          <t>b38b99b1-394b-4ebd-8536-6f9ec7cd4063</t>
        </is>
      </c>
    </row>
    <row r="39" ht="20" customHeight="1">
      <c r="A39" s="4" t="n">
        <v>35</v>
      </c>
      <c r="B39" s="6" t="inlineStr">
        <is>
          <t>2024 Q3</t>
        </is>
      </c>
      <c r="C39" s="25" t="n">
        <v>2024</v>
      </c>
      <c r="D39" s="4" t="n">
        <v>113</v>
      </c>
      <c r="E39" s="6" t="inlineStr">
        <is>
          <t>Q3</t>
        </is>
      </c>
      <c r="F39" s="6" t="inlineStr">
        <is>
          <t>2024-07-01 to 2024-09-30</t>
        </is>
      </c>
      <c r="G39" s="6" t="inlineStr">
        <is>
          <t>Category A2</t>
        </is>
      </c>
      <c r="H39" s="5" t="inlineStr">
        <is>
          <t>Injury accidents (injury or death after 24 hours)</t>
        </is>
      </c>
      <c r="I39" s="7" t="n">
        <v>356</v>
      </c>
      <c r="J39" s="7" t="n">
        <v>0</v>
      </c>
      <c r="K39" s="7" t="n">
        <v>493</v>
      </c>
      <c r="L39" s="7">
        <f>J39+K39</f>
        <v/>
      </c>
      <c r="M39" s="6" t="inlineStr">
        <is>
          <t>66000</t>
        </is>
      </c>
      <c r="N39" s="6" t="inlineStr">
        <is>
          <t>(04)23274275</t>
        </is>
      </c>
      <c r="O39" s="5" t="inlineStr">
        <is>
          <t>Taichung City Delivery Driver Traffic Accident Statistics - 2024 Q3 (ROC 113)</t>
        </is>
      </c>
      <c r="P39" s="6" t="inlineStr">
        <is>
          <t>b38b99b1-394b-4ebd-8536-6f9ec7cd4063</t>
        </is>
      </c>
    </row>
    <row r="40" ht="20" customHeight="1">
      <c r="A40" s="9" t="n">
        <v>36</v>
      </c>
      <c r="B40" s="11" t="inlineStr">
        <is>
          <t>2024 Q3</t>
        </is>
      </c>
      <c r="C40" s="24" t="n">
        <v>2024</v>
      </c>
      <c r="D40" s="9" t="n">
        <v>113</v>
      </c>
      <c r="E40" s="11" t="inlineStr">
        <is>
          <t>Q3</t>
        </is>
      </c>
      <c r="F40" s="11" t="inlineStr">
        <is>
          <t>2024-07-01 to 2024-09-30</t>
        </is>
      </c>
      <c r="G40" s="11" t="inlineStr">
        <is>
          <t>Category A3</t>
        </is>
      </c>
      <c r="H40" s="10" t="inlineStr">
        <is>
          <t>Property / vehicle damage only (no casualty)</t>
        </is>
      </c>
      <c r="I40" s="12" t="n">
        <v>123</v>
      </c>
      <c r="J40" s="12" t="n">
        <v>0</v>
      </c>
      <c r="K40" s="12" t="n">
        <v>0</v>
      </c>
      <c r="L40" s="12">
        <f>J40+K40</f>
        <v/>
      </c>
      <c r="M40" s="11" t="inlineStr">
        <is>
          <t>66000</t>
        </is>
      </c>
      <c r="N40" s="11" t="inlineStr">
        <is>
          <t>(04)23274275</t>
        </is>
      </c>
      <c r="O40" s="10" t="inlineStr">
        <is>
          <t>Taichung City Delivery Driver Traffic Accident Statistics - 2024 Q3 (ROC 113)</t>
        </is>
      </c>
      <c r="P40" s="11" t="inlineStr">
        <is>
          <t>b38b99b1-394b-4ebd-8536-6f9ec7cd4063</t>
        </is>
      </c>
    </row>
    <row r="41" ht="20" customHeight="1">
      <c r="A41" s="19" t="n">
        <v>37</v>
      </c>
      <c r="B41" s="20" t="inlineStr">
        <is>
          <t>2024 Q4</t>
        </is>
      </c>
      <c r="C41" s="21" t="n">
        <v>2024</v>
      </c>
      <c r="D41" s="19" t="n">
        <v>113</v>
      </c>
      <c r="E41" s="20" t="inlineStr">
        <is>
          <t>Q4</t>
        </is>
      </c>
      <c r="F41" s="20" t="inlineStr">
        <is>
          <t>2024-10-01 to 2024-12-31</t>
        </is>
      </c>
      <c r="G41" s="20" t="inlineStr">
        <is>
          <t>Total</t>
        </is>
      </c>
      <c r="H41" s="22" t="inlineStr">
        <is>
          <t>Total of all traffic accident categories</t>
        </is>
      </c>
      <c r="I41" s="23" t="n">
        <v>465</v>
      </c>
      <c r="J41" s="23" t="n">
        <v>0</v>
      </c>
      <c r="K41" s="23" t="n">
        <v>513</v>
      </c>
      <c r="L41" s="23">
        <f>J41+K41</f>
        <v/>
      </c>
      <c r="M41" s="20" t="inlineStr">
        <is>
          <t>66000</t>
        </is>
      </c>
      <c r="N41" s="20" t="inlineStr">
        <is>
          <t>(04)23274275</t>
        </is>
      </c>
      <c r="O41" s="22" t="inlineStr">
        <is>
          <t>Taichung City Delivery Driver Traffic Accident Statistics - 2024 Q4 (ROC 113)</t>
        </is>
      </c>
      <c r="P41" s="20" t="inlineStr">
        <is>
          <t>5f6a6be8-63d4-456f-992f-b7245a851025</t>
        </is>
      </c>
    </row>
    <row r="42" ht="20" customHeight="1">
      <c r="A42" s="9" t="n">
        <v>38</v>
      </c>
      <c r="B42" s="11" t="inlineStr">
        <is>
          <t>2024 Q4</t>
        </is>
      </c>
      <c r="C42" s="24" t="n">
        <v>2024</v>
      </c>
      <c r="D42" s="9" t="n">
        <v>113</v>
      </c>
      <c r="E42" s="11" t="inlineStr">
        <is>
          <t>Q4</t>
        </is>
      </c>
      <c r="F42" s="11" t="inlineStr">
        <is>
          <t>2024-10-01 to 2024-12-31</t>
        </is>
      </c>
      <c r="G42" s="11" t="inlineStr">
        <is>
          <t>Category A1</t>
        </is>
      </c>
      <c r="H42" s="10" t="inlineStr">
        <is>
          <t>Fatal accidents (death on scene or within 24 hours)</t>
        </is>
      </c>
      <c r="I42" s="12" t="n">
        <v>0</v>
      </c>
      <c r="J42" s="12" t="n">
        <v>0</v>
      </c>
      <c r="K42" s="12" t="n">
        <v>0</v>
      </c>
      <c r="L42" s="12">
        <f>J42+K42</f>
        <v/>
      </c>
      <c r="M42" s="11" t="inlineStr">
        <is>
          <t>66000</t>
        </is>
      </c>
      <c r="N42" s="11" t="inlineStr">
        <is>
          <t>(04)23274275</t>
        </is>
      </c>
      <c r="O42" s="10" t="inlineStr">
        <is>
          <t>Taichung City Delivery Driver Traffic Accident Statistics - 2024 Q4 (ROC 113)</t>
        </is>
      </c>
      <c r="P42" s="11" t="inlineStr">
        <is>
          <t>5f6a6be8-63d4-456f-992f-b7245a851025</t>
        </is>
      </c>
    </row>
    <row r="43" ht="20" customHeight="1">
      <c r="A43" s="4" t="n">
        <v>39</v>
      </c>
      <c r="B43" s="6" t="inlineStr">
        <is>
          <t>2024 Q4</t>
        </is>
      </c>
      <c r="C43" s="25" t="n">
        <v>2024</v>
      </c>
      <c r="D43" s="4" t="n">
        <v>113</v>
      </c>
      <c r="E43" s="6" t="inlineStr">
        <is>
          <t>Q4</t>
        </is>
      </c>
      <c r="F43" s="6" t="inlineStr">
        <is>
          <t>2024-10-01 to 2024-12-31</t>
        </is>
      </c>
      <c r="G43" s="6" t="inlineStr">
        <is>
          <t>Category A2</t>
        </is>
      </c>
      <c r="H43" s="5" t="inlineStr">
        <is>
          <t>Injury accidents (injury or death after 24 hours)</t>
        </is>
      </c>
      <c r="I43" s="7" t="n">
        <v>369</v>
      </c>
      <c r="J43" s="7" t="n">
        <v>0</v>
      </c>
      <c r="K43" s="7" t="n">
        <v>513</v>
      </c>
      <c r="L43" s="7">
        <f>J43+K43</f>
        <v/>
      </c>
      <c r="M43" s="6" t="inlineStr">
        <is>
          <t>66000</t>
        </is>
      </c>
      <c r="N43" s="6" t="inlineStr">
        <is>
          <t>(04)23274275</t>
        </is>
      </c>
      <c r="O43" s="5" t="inlineStr">
        <is>
          <t>Taichung City Delivery Driver Traffic Accident Statistics - 2024 Q4 (ROC 113)</t>
        </is>
      </c>
      <c r="P43" s="6" t="inlineStr">
        <is>
          <t>5f6a6be8-63d4-456f-992f-b7245a851025</t>
        </is>
      </c>
    </row>
    <row r="44" ht="20" customHeight="1">
      <c r="A44" s="9" t="n">
        <v>40</v>
      </c>
      <c r="B44" s="11" t="inlineStr">
        <is>
          <t>2024 Q4</t>
        </is>
      </c>
      <c r="C44" s="24" t="n">
        <v>2024</v>
      </c>
      <c r="D44" s="9" t="n">
        <v>113</v>
      </c>
      <c r="E44" s="11" t="inlineStr">
        <is>
          <t>Q4</t>
        </is>
      </c>
      <c r="F44" s="11" t="inlineStr">
        <is>
          <t>2024-10-01 to 2024-12-31</t>
        </is>
      </c>
      <c r="G44" s="11" t="inlineStr">
        <is>
          <t>Category A3</t>
        </is>
      </c>
      <c r="H44" s="10" t="inlineStr">
        <is>
          <t>Property / vehicle damage only (no casualty)</t>
        </is>
      </c>
      <c r="I44" s="12" t="n">
        <v>96</v>
      </c>
      <c r="J44" s="12" t="n">
        <v>0</v>
      </c>
      <c r="K44" s="12" t="n">
        <v>0</v>
      </c>
      <c r="L44" s="12">
        <f>J44+K44</f>
        <v/>
      </c>
      <c r="M44" s="11" t="inlineStr">
        <is>
          <t>66000</t>
        </is>
      </c>
      <c r="N44" s="11" t="inlineStr">
        <is>
          <t>(04)23274275</t>
        </is>
      </c>
      <c r="O44" s="10" t="inlineStr">
        <is>
          <t>Taichung City Delivery Driver Traffic Accident Statistics - 2024 Q4 (ROC 113)</t>
        </is>
      </c>
      <c r="P44" s="11" t="inlineStr">
        <is>
          <t>5f6a6be8-63d4-456f-992f-b7245a851025</t>
        </is>
      </c>
    </row>
    <row r="45" ht="20" customHeight="1">
      <c r="A45" s="19" t="n">
        <v>41</v>
      </c>
      <c r="B45" s="20" t="inlineStr">
        <is>
          <t>2025 Q1</t>
        </is>
      </c>
      <c r="C45" s="21" t="n">
        <v>2025</v>
      </c>
      <c r="D45" s="19" t="n">
        <v>114</v>
      </c>
      <c r="E45" s="20" t="inlineStr">
        <is>
          <t>Q1</t>
        </is>
      </c>
      <c r="F45" s="20" t="inlineStr">
        <is>
          <t>2025-01-01 to 2025-03-31</t>
        </is>
      </c>
      <c r="G45" s="20" t="inlineStr">
        <is>
          <t>Total</t>
        </is>
      </c>
      <c r="H45" s="22" t="inlineStr">
        <is>
          <t>Total of all traffic accident categories</t>
        </is>
      </c>
      <c r="I45" s="23" t="n">
        <v>431</v>
      </c>
      <c r="J45" s="23" t="n">
        <v>2</v>
      </c>
      <c r="K45" s="23" t="n">
        <v>444</v>
      </c>
      <c r="L45" s="23">
        <f>J45+K45</f>
        <v/>
      </c>
      <c r="M45" s="20" t="inlineStr">
        <is>
          <t>66000</t>
        </is>
      </c>
      <c r="N45" s="20" t="inlineStr">
        <is>
          <t>(04)23274275</t>
        </is>
      </c>
      <c r="O45" s="22" t="inlineStr">
        <is>
          <t>Taichung City Delivery Driver Traffic Accident Statistics - 2025 Q1 (ROC 114)</t>
        </is>
      </c>
      <c r="P45" s="20" t="inlineStr">
        <is>
          <t>b709b391-99da-48d1-b1cf-6d4f5de70cb9</t>
        </is>
      </c>
    </row>
    <row r="46" ht="20" customHeight="1">
      <c r="A46" s="9" t="n">
        <v>42</v>
      </c>
      <c r="B46" s="11" t="inlineStr">
        <is>
          <t>2025 Q1</t>
        </is>
      </c>
      <c r="C46" s="24" t="n">
        <v>2025</v>
      </c>
      <c r="D46" s="9" t="n">
        <v>114</v>
      </c>
      <c r="E46" s="11" t="inlineStr">
        <is>
          <t>Q1</t>
        </is>
      </c>
      <c r="F46" s="11" t="inlineStr">
        <is>
          <t>2025-01-01 to 2025-03-31</t>
        </is>
      </c>
      <c r="G46" s="11" t="inlineStr">
        <is>
          <t>Category A1</t>
        </is>
      </c>
      <c r="H46" s="10" t="inlineStr">
        <is>
          <t>Fatal accidents (death on scene or within 24 hours)</t>
        </is>
      </c>
      <c r="I46" s="12" t="n">
        <v>2</v>
      </c>
      <c r="J46" s="12" t="n">
        <v>2</v>
      </c>
      <c r="K46" s="12" t="n">
        <v>0</v>
      </c>
      <c r="L46" s="12">
        <f>J46+K46</f>
        <v/>
      </c>
      <c r="M46" s="11" t="inlineStr">
        <is>
          <t>66000</t>
        </is>
      </c>
      <c r="N46" s="11" t="inlineStr">
        <is>
          <t>(04)23274275</t>
        </is>
      </c>
      <c r="O46" s="10" t="inlineStr">
        <is>
          <t>Taichung City Delivery Driver Traffic Accident Statistics - 2025 Q1 (ROC 114)</t>
        </is>
      </c>
      <c r="P46" s="11" t="inlineStr">
        <is>
          <t>b709b391-99da-48d1-b1cf-6d4f5de70cb9</t>
        </is>
      </c>
    </row>
    <row r="47" ht="20" customHeight="1">
      <c r="A47" s="4" t="n">
        <v>43</v>
      </c>
      <c r="B47" s="6" t="inlineStr">
        <is>
          <t>2025 Q1</t>
        </is>
      </c>
      <c r="C47" s="25" t="n">
        <v>2025</v>
      </c>
      <c r="D47" s="4" t="n">
        <v>114</v>
      </c>
      <c r="E47" s="6" t="inlineStr">
        <is>
          <t>Q1</t>
        </is>
      </c>
      <c r="F47" s="6" t="inlineStr">
        <is>
          <t>2025-01-01 to 2025-03-31</t>
        </is>
      </c>
      <c r="G47" s="6" t="inlineStr">
        <is>
          <t>Category A2</t>
        </is>
      </c>
      <c r="H47" s="5" t="inlineStr">
        <is>
          <t>Injury accidents (injury or death after 24 hours)</t>
        </is>
      </c>
      <c r="I47" s="7" t="n">
        <v>315</v>
      </c>
      <c r="J47" s="7" t="n">
        <v>0</v>
      </c>
      <c r="K47" s="7" t="n">
        <v>444</v>
      </c>
      <c r="L47" s="7">
        <f>J47+K47</f>
        <v/>
      </c>
      <c r="M47" s="6" t="inlineStr">
        <is>
          <t>66000</t>
        </is>
      </c>
      <c r="N47" s="6" t="inlineStr">
        <is>
          <t>(04)23274275</t>
        </is>
      </c>
      <c r="O47" s="5" t="inlineStr">
        <is>
          <t>Taichung City Delivery Driver Traffic Accident Statistics - 2025 Q1 (ROC 114)</t>
        </is>
      </c>
      <c r="P47" s="6" t="inlineStr">
        <is>
          <t>b709b391-99da-48d1-b1cf-6d4f5de70cb9</t>
        </is>
      </c>
    </row>
    <row r="48" ht="20" customHeight="1">
      <c r="A48" s="9" t="n">
        <v>44</v>
      </c>
      <c r="B48" s="11" t="inlineStr">
        <is>
          <t>2025 Q1</t>
        </is>
      </c>
      <c r="C48" s="24" t="n">
        <v>2025</v>
      </c>
      <c r="D48" s="9" t="n">
        <v>114</v>
      </c>
      <c r="E48" s="11" t="inlineStr">
        <is>
          <t>Q1</t>
        </is>
      </c>
      <c r="F48" s="11" t="inlineStr">
        <is>
          <t>2025-01-01 to 2025-03-31</t>
        </is>
      </c>
      <c r="G48" s="11" t="inlineStr">
        <is>
          <t>Category A3</t>
        </is>
      </c>
      <c r="H48" s="10" t="inlineStr">
        <is>
          <t>Property / vehicle damage only (no casualty)</t>
        </is>
      </c>
      <c r="I48" s="12" t="n">
        <v>114</v>
      </c>
      <c r="J48" s="12" t="n">
        <v>0</v>
      </c>
      <c r="K48" s="12" t="n">
        <v>0</v>
      </c>
      <c r="L48" s="12">
        <f>J48+K48</f>
        <v/>
      </c>
      <c r="M48" s="11" t="inlineStr">
        <is>
          <t>66000</t>
        </is>
      </c>
      <c r="N48" s="11" t="inlineStr">
        <is>
          <t>(04)23274275</t>
        </is>
      </c>
      <c r="O48" s="10" t="inlineStr">
        <is>
          <t>Taichung City Delivery Driver Traffic Accident Statistics - 2025 Q1 (ROC 114)</t>
        </is>
      </c>
      <c r="P48" s="11" t="inlineStr">
        <is>
          <t>b709b391-99da-48d1-b1cf-6d4f5de70cb9</t>
        </is>
      </c>
    </row>
    <row r="49" ht="20" customHeight="1">
      <c r="A49" s="19" t="n">
        <v>45</v>
      </c>
      <c r="B49" s="20" t="inlineStr">
        <is>
          <t>2025 Q2</t>
        </is>
      </c>
      <c r="C49" s="21" t="n">
        <v>2025</v>
      </c>
      <c r="D49" s="19" t="n">
        <v>114</v>
      </c>
      <c r="E49" s="20" t="inlineStr">
        <is>
          <t>Q2</t>
        </is>
      </c>
      <c r="F49" s="20" t="inlineStr">
        <is>
          <t>2025-04-01 to 2025-06-30</t>
        </is>
      </c>
      <c r="G49" s="20" t="inlineStr">
        <is>
          <t>Total</t>
        </is>
      </c>
      <c r="H49" s="22" t="inlineStr">
        <is>
          <t>Total of all traffic accident categories</t>
        </is>
      </c>
      <c r="I49" s="23" t="n">
        <v>388</v>
      </c>
      <c r="J49" s="23" t="n">
        <v>0</v>
      </c>
      <c r="K49" s="23" t="n">
        <v>380</v>
      </c>
      <c r="L49" s="23">
        <f>J49+K49</f>
        <v/>
      </c>
      <c r="M49" s="20" t="inlineStr">
        <is>
          <t>66000</t>
        </is>
      </c>
      <c r="N49" s="20" t="inlineStr">
        <is>
          <t>(04)23274275</t>
        </is>
      </c>
      <c r="O49" s="22" t="inlineStr">
        <is>
          <t>Taichung City Delivery Driver Traffic Accident Statistics - 2025 Q2 (ROC 114)</t>
        </is>
      </c>
      <c r="P49" s="20" t="inlineStr">
        <is>
          <t>f6559da6-511f-4d8c-b33d-47e6faed1574</t>
        </is>
      </c>
    </row>
    <row r="50" ht="20" customHeight="1">
      <c r="A50" s="9" t="n">
        <v>46</v>
      </c>
      <c r="B50" s="11" t="inlineStr">
        <is>
          <t>2025 Q2</t>
        </is>
      </c>
      <c r="C50" s="24" t="n">
        <v>2025</v>
      </c>
      <c r="D50" s="9" t="n">
        <v>114</v>
      </c>
      <c r="E50" s="11" t="inlineStr">
        <is>
          <t>Q2</t>
        </is>
      </c>
      <c r="F50" s="11" t="inlineStr">
        <is>
          <t>2025-04-01 to 2025-06-30</t>
        </is>
      </c>
      <c r="G50" s="11" t="inlineStr">
        <is>
          <t>Category A1</t>
        </is>
      </c>
      <c r="H50" s="10" t="inlineStr">
        <is>
          <t>Fatal accidents (death on scene or within 24 hours)</t>
        </is>
      </c>
      <c r="I50" s="12" t="n">
        <v>0</v>
      </c>
      <c r="J50" s="12" t="n">
        <v>0</v>
      </c>
      <c r="K50" s="12" t="n">
        <v>0</v>
      </c>
      <c r="L50" s="12">
        <f>J50+K50</f>
        <v/>
      </c>
      <c r="M50" s="11" t="inlineStr">
        <is>
          <t>66000</t>
        </is>
      </c>
      <c r="N50" s="11" t="inlineStr">
        <is>
          <t>(04)23274275</t>
        </is>
      </c>
      <c r="O50" s="10" t="inlineStr">
        <is>
          <t>Taichung City Delivery Driver Traffic Accident Statistics - 2025 Q2 (ROC 114)</t>
        </is>
      </c>
      <c r="P50" s="11" t="inlineStr">
        <is>
          <t>f6559da6-511f-4d8c-b33d-47e6faed1574</t>
        </is>
      </c>
    </row>
    <row r="51" ht="20" customHeight="1">
      <c r="A51" s="4" t="n">
        <v>47</v>
      </c>
      <c r="B51" s="6" t="inlineStr">
        <is>
          <t>2025 Q2</t>
        </is>
      </c>
      <c r="C51" s="25" t="n">
        <v>2025</v>
      </c>
      <c r="D51" s="4" t="n">
        <v>114</v>
      </c>
      <c r="E51" s="6" t="inlineStr">
        <is>
          <t>Q2</t>
        </is>
      </c>
      <c r="F51" s="6" t="inlineStr">
        <is>
          <t>2025-04-01 to 2025-06-30</t>
        </is>
      </c>
      <c r="G51" s="6" t="inlineStr">
        <is>
          <t>Category A2</t>
        </is>
      </c>
      <c r="H51" s="5" t="inlineStr">
        <is>
          <t>Injury accidents (injury or death after 24 hours)</t>
        </is>
      </c>
      <c r="I51" s="7" t="n">
        <v>282</v>
      </c>
      <c r="J51" s="7" t="n">
        <v>0</v>
      </c>
      <c r="K51" s="7" t="n">
        <v>380</v>
      </c>
      <c r="L51" s="7">
        <f>J51+K51</f>
        <v/>
      </c>
      <c r="M51" s="6" t="inlineStr">
        <is>
          <t>66000</t>
        </is>
      </c>
      <c r="N51" s="6" t="inlineStr">
        <is>
          <t>(04)23274275</t>
        </is>
      </c>
      <c r="O51" s="5" t="inlineStr">
        <is>
          <t>Taichung City Delivery Driver Traffic Accident Statistics - 2025 Q2 (ROC 114)</t>
        </is>
      </c>
      <c r="P51" s="6" t="inlineStr">
        <is>
          <t>f6559da6-511f-4d8c-b33d-47e6faed1574</t>
        </is>
      </c>
    </row>
    <row r="52" ht="20" customHeight="1">
      <c r="A52" s="9" t="n">
        <v>48</v>
      </c>
      <c r="B52" s="11" t="inlineStr">
        <is>
          <t>2025 Q2</t>
        </is>
      </c>
      <c r="C52" s="24" t="n">
        <v>2025</v>
      </c>
      <c r="D52" s="9" t="n">
        <v>114</v>
      </c>
      <c r="E52" s="11" t="inlineStr">
        <is>
          <t>Q2</t>
        </is>
      </c>
      <c r="F52" s="11" t="inlineStr">
        <is>
          <t>2025-04-01 to 2025-06-30</t>
        </is>
      </c>
      <c r="G52" s="11" t="inlineStr">
        <is>
          <t>Category A3</t>
        </is>
      </c>
      <c r="H52" s="10" t="inlineStr">
        <is>
          <t>Property / vehicle damage only (no casualty)</t>
        </is>
      </c>
      <c r="I52" s="12" t="n">
        <v>106</v>
      </c>
      <c r="J52" s="12" t="n">
        <v>0</v>
      </c>
      <c r="K52" s="12" t="n">
        <v>0</v>
      </c>
      <c r="L52" s="12">
        <f>J52+K52</f>
        <v/>
      </c>
      <c r="M52" s="11" t="inlineStr">
        <is>
          <t>66000</t>
        </is>
      </c>
      <c r="N52" s="11" t="inlineStr">
        <is>
          <t>(04)23274275</t>
        </is>
      </c>
      <c r="O52" s="10" t="inlineStr">
        <is>
          <t>Taichung City Delivery Driver Traffic Accident Statistics - 2025 Q2 (ROC 114)</t>
        </is>
      </c>
      <c r="P52" s="11" t="inlineStr">
        <is>
          <t>f6559da6-511f-4d8c-b33d-47e6faed1574</t>
        </is>
      </c>
    </row>
    <row r="53" ht="20" customHeight="1">
      <c r="A53" s="19" t="n">
        <v>49</v>
      </c>
      <c r="B53" s="20" t="inlineStr">
        <is>
          <t>2025 Q3</t>
        </is>
      </c>
      <c r="C53" s="21" t="n">
        <v>2025</v>
      </c>
      <c r="D53" s="19" t="n">
        <v>114</v>
      </c>
      <c r="E53" s="20" t="inlineStr">
        <is>
          <t>Q3</t>
        </is>
      </c>
      <c r="F53" s="20" t="inlineStr">
        <is>
          <t>2025-07-01 to 2025-09-30</t>
        </is>
      </c>
      <c r="G53" s="20" t="inlineStr">
        <is>
          <t>Total</t>
        </is>
      </c>
      <c r="H53" s="22" t="inlineStr">
        <is>
          <t>Total of all traffic accident categories</t>
        </is>
      </c>
      <c r="I53" s="23" t="n">
        <v>389</v>
      </c>
      <c r="J53" s="23" t="n">
        <v>0</v>
      </c>
      <c r="K53" s="23" t="n">
        <v>388</v>
      </c>
      <c r="L53" s="23">
        <f>J53+K53</f>
        <v/>
      </c>
      <c r="M53" s="20" t="inlineStr">
        <is>
          <t>66000</t>
        </is>
      </c>
      <c r="N53" s="20" t="inlineStr">
        <is>
          <t>(04)23274275</t>
        </is>
      </c>
      <c r="O53" s="22" t="inlineStr">
        <is>
          <t>Taichung City Delivery Driver Traffic Accident Statistics - 2025 Q3 (ROC 114)</t>
        </is>
      </c>
      <c r="P53" s="20" t="inlineStr">
        <is>
          <t>a43b62c7-0aff-4827-a957-46c2a58eaa6b</t>
        </is>
      </c>
    </row>
    <row r="54" ht="20" customHeight="1">
      <c r="A54" s="9" t="n">
        <v>50</v>
      </c>
      <c r="B54" s="11" t="inlineStr">
        <is>
          <t>2025 Q3</t>
        </is>
      </c>
      <c r="C54" s="24" t="n">
        <v>2025</v>
      </c>
      <c r="D54" s="9" t="n">
        <v>114</v>
      </c>
      <c r="E54" s="11" t="inlineStr">
        <is>
          <t>Q3</t>
        </is>
      </c>
      <c r="F54" s="11" t="inlineStr">
        <is>
          <t>2025-07-01 to 2025-09-30</t>
        </is>
      </c>
      <c r="G54" s="11" t="inlineStr">
        <is>
          <t>Category A1</t>
        </is>
      </c>
      <c r="H54" s="10" t="inlineStr">
        <is>
          <t>Fatal accidents (death on scene or within 24 hours)</t>
        </is>
      </c>
      <c r="I54" s="12" t="n">
        <v>0</v>
      </c>
      <c r="J54" s="12" t="n">
        <v>0</v>
      </c>
      <c r="K54" s="12" t="n">
        <v>0</v>
      </c>
      <c r="L54" s="12">
        <f>J54+K54</f>
        <v/>
      </c>
      <c r="M54" s="11" t="inlineStr">
        <is>
          <t>66000</t>
        </is>
      </c>
      <c r="N54" s="11" t="inlineStr">
        <is>
          <t>(04)23274275</t>
        </is>
      </c>
      <c r="O54" s="10" t="inlineStr">
        <is>
          <t>Taichung City Delivery Driver Traffic Accident Statistics - 2025 Q3 (ROC 114)</t>
        </is>
      </c>
      <c r="P54" s="11" t="inlineStr">
        <is>
          <t>a43b62c7-0aff-4827-a957-46c2a58eaa6b</t>
        </is>
      </c>
    </row>
    <row r="55" ht="20" customHeight="1">
      <c r="A55" s="4" t="n">
        <v>51</v>
      </c>
      <c r="B55" s="6" t="inlineStr">
        <is>
          <t>2025 Q3</t>
        </is>
      </c>
      <c r="C55" s="25" t="n">
        <v>2025</v>
      </c>
      <c r="D55" s="4" t="n">
        <v>114</v>
      </c>
      <c r="E55" s="6" t="inlineStr">
        <is>
          <t>Q3</t>
        </is>
      </c>
      <c r="F55" s="6" t="inlineStr">
        <is>
          <t>2025-07-01 to 2025-09-30</t>
        </is>
      </c>
      <c r="G55" s="6" t="inlineStr">
        <is>
          <t>Category A2</t>
        </is>
      </c>
      <c r="H55" s="5" t="inlineStr">
        <is>
          <t>Injury accidents (injury or death after 24 hours)</t>
        </is>
      </c>
      <c r="I55" s="7" t="n">
        <v>295</v>
      </c>
      <c r="J55" s="7" t="n">
        <v>0</v>
      </c>
      <c r="K55" s="7" t="n">
        <v>388</v>
      </c>
      <c r="L55" s="7">
        <f>J55+K55</f>
        <v/>
      </c>
      <c r="M55" s="6" t="inlineStr">
        <is>
          <t>66000</t>
        </is>
      </c>
      <c r="N55" s="6" t="inlineStr">
        <is>
          <t>(04)23274275</t>
        </is>
      </c>
      <c r="O55" s="5" t="inlineStr">
        <is>
          <t>Taichung City Delivery Driver Traffic Accident Statistics - 2025 Q3 (ROC 114)</t>
        </is>
      </c>
      <c r="P55" s="6" t="inlineStr">
        <is>
          <t>a43b62c7-0aff-4827-a957-46c2a58eaa6b</t>
        </is>
      </c>
    </row>
    <row r="56" ht="20" customHeight="1">
      <c r="A56" s="9" t="n">
        <v>52</v>
      </c>
      <c r="B56" s="11" t="inlineStr">
        <is>
          <t>2025 Q3</t>
        </is>
      </c>
      <c r="C56" s="24" t="n">
        <v>2025</v>
      </c>
      <c r="D56" s="9" t="n">
        <v>114</v>
      </c>
      <c r="E56" s="11" t="inlineStr">
        <is>
          <t>Q3</t>
        </is>
      </c>
      <c r="F56" s="11" t="inlineStr">
        <is>
          <t>2025-07-01 to 2025-09-30</t>
        </is>
      </c>
      <c r="G56" s="11" t="inlineStr">
        <is>
          <t>Category A3</t>
        </is>
      </c>
      <c r="H56" s="10" t="inlineStr">
        <is>
          <t>Property / vehicle damage only (no casualty)</t>
        </is>
      </c>
      <c r="I56" s="12" t="n">
        <v>94</v>
      </c>
      <c r="J56" s="12" t="n">
        <v>0</v>
      </c>
      <c r="K56" s="12" t="n">
        <v>0</v>
      </c>
      <c r="L56" s="12">
        <f>J56+K56</f>
        <v/>
      </c>
      <c r="M56" s="11" t="inlineStr">
        <is>
          <t>66000</t>
        </is>
      </c>
      <c r="N56" s="11" t="inlineStr">
        <is>
          <t>(04)23274275</t>
        </is>
      </c>
      <c r="O56" s="10" t="inlineStr">
        <is>
          <t>Taichung City Delivery Driver Traffic Accident Statistics - 2025 Q3 (ROC 114)</t>
        </is>
      </c>
      <c r="P56" s="11" t="inlineStr">
        <is>
          <t>a43b62c7-0aff-4827-a957-46c2a58eaa6b</t>
        </is>
      </c>
    </row>
    <row r="57" ht="20" customHeight="1">
      <c r="A57" s="19" t="n">
        <v>53</v>
      </c>
      <c r="B57" s="20" t="inlineStr">
        <is>
          <t>2025 Q4</t>
        </is>
      </c>
      <c r="C57" s="21" t="n">
        <v>2025</v>
      </c>
      <c r="D57" s="19" t="n">
        <v>114</v>
      </c>
      <c r="E57" s="20" t="inlineStr">
        <is>
          <t>Q4</t>
        </is>
      </c>
      <c r="F57" s="20" t="inlineStr">
        <is>
          <t>2025-10-01 to 2025-12-31</t>
        </is>
      </c>
      <c r="G57" s="20" t="inlineStr">
        <is>
          <t>Total</t>
        </is>
      </c>
      <c r="H57" s="22" t="inlineStr">
        <is>
          <t>Total of all traffic accident categories</t>
        </is>
      </c>
      <c r="I57" s="23" t="n">
        <v>421</v>
      </c>
      <c r="J57" s="23" t="n">
        <v>0</v>
      </c>
      <c r="K57" s="23" t="n">
        <v>432</v>
      </c>
      <c r="L57" s="23">
        <f>J57+K57</f>
        <v/>
      </c>
      <c r="M57" s="20" t="inlineStr">
        <is>
          <t>66000</t>
        </is>
      </c>
      <c r="N57" s="20" t="inlineStr">
        <is>
          <t>(04)23274275</t>
        </is>
      </c>
      <c r="O57" s="22" t="inlineStr">
        <is>
          <t>Taichung City Delivery Driver Traffic Accident Statistics - 2025 Q4 (ROC 114)</t>
        </is>
      </c>
      <c r="P57" s="20" t="inlineStr">
        <is>
          <t>20238ddd-628e-48eb-818f-d02bf69bca39</t>
        </is>
      </c>
    </row>
    <row r="58" ht="20" customHeight="1">
      <c r="A58" s="9" t="n">
        <v>54</v>
      </c>
      <c r="B58" s="11" t="inlineStr">
        <is>
          <t>2025 Q4</t>
        </is>
      </c>
      <c r="C58" s="24" t="n">
        <v>2025</v>
      </c>
      <c r="D58" s="9" t="n">
        <v>114</v>
      </c>
      <c r="E58" s="11" t="inlineStr">
        <is>
          <t>Q4</t>
        </is>
      </c>
      <c r="F58" s="11" t="inlineStr">
        <is>
          <t>2025-10-01 to 2025-12-31</t>
        </is>
      </c>
      <c r="G58" s="11" t="inlineStr">
        <is>
          <t>Category A1</t>
        </is>
      </c>
      <c r="H58" s="10" t="inlineStr">
        <is>
          <t>Fatal accidents (death on scene or within 24 hours)</t>
        </is>
      </c>
      <c r="I58" s="12" t="n">
        <v>0</v>
      </c>
      <c r="J58" s="12" t="n">
        <v>0</v>
      </c>
      <c r="K58" s="12" t="n">
        <v>0</v>
      </c>
      <c r="L58" s="12">
        <f>J58+K58</f>
        <v/>
      </c>
      <c r="M58" s="11" t="inlineStr">
        <is>
          <t>66000</t>
        </is>
      </c>
      <c r="N58" s="11" t="inlineStr">
        <is>
          <t>(04)23274275</t>
        </is>
      </c>
      <c r="O58" s="10" t="inlineStr">
        <is>
          <t>Taichung City Delivery Driver Traffic Accident Statistics - 2025 Q4 (ROC 114)</t>
        </is>
      </c>
      <c r="P58" s="11" t="inlineStr">
        <is>
          <t>20238ddd-628e-48eb-818f-d02bf69bca39</t>
        </is>
      </c>
    </row>
    <row r="59" ht="20" customHeight="1">
      <c r="A59" s="4" t="n">
        <v>55</v>
      </c>
      <c r="B59" s="6" t="inlineStr">
        <is>
          <t>2025 Q4</t>
        </is>
      </c>
      <c r="C59" s="25" t="n">
        <v>2025</v>
      </c>
      <c r="D59" s="4" t="n">
        <v>114</v>
      </c>
      <c r="E59" s="6" t="inlineStr">
        <is>
          <t>Q4</t>
        </is>
      </c>
      <c r="F59" s="6" t="inlineStr">
        <is>
          <t>2025-10-01 to 2025-12-31</t>
        </is>
      </c>
      <c r="G59" s="6" t="inlineStr">
        <is>
          <t>Category A2</t>
        </is>
      </c>
      <c r="H59" s="5" t="inlineStr">
        <is>
          <t>Injury accidents (injury or death after 24 hours)</t>
        </is>
      </c>
      <c r="I59" s="7" t="n">
        <v>310</v>
      </c>
      <c r="J59" s="7" t="n">
        <v>0</v>
      </c>
      <c r="K59" s="7" t="n">
        <v>432</v>
      </c>
      <c r="L59" s="7">
        <f>J59+K59</f>
        <v/>
      </c>
      <c r="M59" s="6" t="inlineStr">
        <is>
          <t>66000</t>
        </is>
      </c>
      <c r="N59" s="6" t="inlineStr">
        <is>
          <t>(04)23274275</t>
        </is>
      </c>
      <c r="O59" s="5" t="inlineStr">
        <is>
          <t>Taichung City Delivery Driver Traffic Accident Statistics - 2025 Q4 (ROC 114)</t>
        </is>
      </c>
      <c r="P59" s="6" t="inlineStr">
        <is>
          <t>20238ddd-628e-48eb-818f-d02bf69bca39</t>
        </is>
      </c>
    </row>
    <row r="60" ht="20" customHeight="1">
      <c r="A60" s="9" t="n">
        <v>56</v>
      </c>
      <c r="B60" s="11" t="inlineStr">
        <is>
          <t>2025 Q4</t>
        </is>
      </c>
      <c r="C60" s="24" t="n">
        <v>2025</v>
      </c>
      <c r="D60" s="9" t="n">
        <v>114</v>
      </c>
      <c r="E60" s="11" t="inlineStr">
        <is>
          <t>Q4</t>
        </is>
      </c>
      <c r="F60" s="11" t="inlineStr">
        <is>
          <t>2025-10-01 to 2025-12-31</t>
        </is>
      </c>
      <c r="G60" s="11" t="inlineStr">
        <is>
          <t>Category A3</t>
        </is>
      </c>
      <c r="H60" s="10" t="inlineStr">
        <is>
          <t>Property / vehicle damage only (no casualty)</t>
        </is>
      </c>
      <c r="I60" s="12" t="n">
        <v>111</v>
      </c>
      <c r="J60" s="12" t="n">
        <v>0</v>
      </c>
      <c r="K60" s="12" t="n">
        <v>0</v>
      </c>
      <c r="L60" s="12">
        <f>J60+K60</f>
        <v/>
      </c>
      <c r="M60" s="11" t="inlineStr">
        <is>
          <t>66000</t>
        </is>
      </c>
      <c r="N60" s="11" t="inlineStr">
        <is>
          <t>(04)23274275</t>
        </is>
      </c>
      <c r="O60" s="10" t="inlineStr">
        <is>
          <t>Taichung City Delivery Driver Traffic Accident Statistics - 2025 Q4 (ROC 114)</t>
        </is>
      </c>
      <c r="P60" s="11" t="inlineStr">
        <is>
          <t>20238ddd-628e-48eb-818f-d02bf69bca39</t>
        </is>
      </c>
    </row>
    <row r="61" ht="20" customHeight="1">
      <c r="A61" s="19" t="n">
        <v>57</v>
      </c>
      <c r="B61" s="20" t="inlineStr">
        <is>
          <t>2026 Q1</t>
        </is>
      </c>
      <c r="C61" s="21" t="n">
        <v>2026</v>
      </c>
      <c r="D61" s="19" t="n">
        <v>115</v>
      </c>
      <c r="E61" s="20" t="inlineStr">
        <is>
          <t>Q1</t>
        </is>
      </c>
      <c r="F61" s="20" t="inlineStr">
        <is>
          <t>2026-01-01 to 2026-03-31</t>
        </is>
      </c>
      <c r="G61" s="20" t="inlineStr">
        <is>
          <t>Total</t>
        </is>
      </c>
      <c r="H61" s="22" t="inlineStr">
        <is>
          <t>Total of all traffic accident categories</t>
        </is>
      </c>
      <c r="I61" s="23" t="n">
        <v>408</v>
      </c>
      <c r="J61" s="23" t="n">
        <v>0</v>
      </c>
      <c r="K61" s="23" t="n">
        <v>396</v>
      </c>
      <c r="L61" s="23">
        <f>J61+K61</f>
        <v/>
      </c>
      <c r="M61" s="20" t="inlineStr">
        <is>
          <t>66000</t>
        </is>
      </c>
      <c r="N61" s="20" t="inlineStr">
        <is>
          <t>(04)23274275</t>
        </is>
      </c>
      <c r="O61" s="22" t="inlineStr">
        <is>
          <t>Taichung City Delivery Driver Traffic Accident Statistics - 2026 Q1 (ROC 115)</t>
        </is>
      </c>
      <c r="P61" s="20" t="inlineStr">
        <is>
          <t>b41e113f-e480-4d9d-9ccd-18ce5f9e3c71</t>
        </is>
      </c>
    </row>
    <row r="62" ht="20" customHeight="1">
      <c r="A62" s="9" t="n">
        <v>58</v>
      </c>
      <c r="B62" s="11" t="inlineStr">
        <is>
          <t>2026 Q1</t>
        </is>
      </c>
      <c r="C62" s="24" t="n">
        <v>2026</v>
      </c>
      <c r="D62" s="9" t="n">
        <v>115</v>
      </c>
      <c r="E62" s="11" t="inlineStr">
        <is>
          <t>Q1</t>
        </is>
      </c>
      <c r="F62" s="11" t="inlineStr">
        <is>
          <t>2026-01-01 to 2026-03-31</t>
        </is>
      </c>
      <c r="G62" s="11" t="inlineStr">
        <is>
          <t>Category A1</t>
        </is>
      </c>
      <c r="H62" s="10" t="inlineStr">
        <is>
          <t>Fatal accidents (death on scene or within 24 hours)</t>
        </is>
      </c>
      <c r="I62" s="12" t="n">
        <v>0</v>
      </c>
      <c r="J62" s="12" t="n">
        <v>0</v>
      </c>
      <c r="K62" s="12" t="n">
        <v>0</v>
      </c>
      <c r="L62" s="12">
        <f>J62+K62</f>
        <v/>
      </c>
      <c r="M62" s="11" t="inlineStr">
        <is>
          <t>66000</t>
        </is>
      </c>
      <c r="N62" s="11" t="inlineStr">
        <is>
          <t>(04)23274275</t>
        </is>
      </c>
      <c r="O62" s="10" t="inlineStr">
        <is>
          <t>Taichung City Delivery Driver Traffic Accident Statistics - 2026 Q1 (ROC 115)</t>
        </is>
      </c>
      <c r="P62" s="11" t="inlineStr">
        <is>
          <t>b41e113f-e480-4d9d-9ccd-18ce5f9e3c71</t>
        </is>
      </c>
    </row>
    <row r="63" ht="20" customHeight="1">
      <c r="A63" s="4" t="n">
        <v>59</v>
      </c>
      <c r="B63" s="6" t="inlineStr">
        <is>
          <t>2026 Q1</t>
        </is>
      </c>
      <c r="C63" s="25" t="n">
        <v>2026</v>
      </c>
      <c r="D63" s="4" t="n">
        <v>115</v>
      </c>
      <c r="E63" s="6" t="inlineStr">
        <is>
          <t>Q1</t>
        </is>
      </c>
      <c r="F63" s="6" t="inlineStr">
        <is>
          <t>2026-01-01 to 2026-03-31</t>
        </is>
      </c>
      <c r="G63" s="6" t="inlineStr">
        <is>
          <t>Category A2</t>
        </is>
      </c>
      <c r="H63" s="5" t="inlineStr">
        <is>
          <t>Injury accidents (injury or death after 24 hours)</t>
        </is>
      </c>
      <c r="I63" s="7" t="n">
        <v>292</v>
      </c>
      <c r="J63" s="7" t="n">
        <v>0</v>
      </c>
      <c r="K63" s="7" t="n">
        <v>396</v>
      </c>
      <c r="L63" s="7">
        <f>J63+K63</f>
        <v/>
      </c>
      <c r="M63" s="6" t="inlineStr">
        <is>
          <t>66000</t>
        </is>
      </c>
      <c r="N63" s="6" t="inlineStr">
        <is>
          <t>(04)23274275</t>
        </is>
      </c>
      <c r="O63" s="5" t="inlineStr">
        <is>
          <t>Taichung City Delivery Driver Traffic Accident Statistics - 2026 Q1 (ROC 115)</t>
        </is>
      </c>
      <c r="P63" s="6" t="inlineStr">
        <is>
          <t>b41e113f-e480-4d9d-9ccd-18ce5f9e3c71</t>
        </is>
      </c>
    </row>
    <row r="64" ht="20" customHeight="1">
      <c r="A64" s="9" t="n">
        <v>60</v>
      </c>
      <c r="B64" s="11" t="inlineStr">
        <is>
          <t>2026 Q1</t>
        </is>
      </c>
      <c r="C64" s="24" t="n">
        <v>2026</v>
      </c>
      <c r="D64" s="9" t="n">
        <v>115</v>
      </c>
      <c r="E64" s="11" t="inlineStr">
        <is>
          <t>Q1</t>
        </is>
      </c>
      <c r="F64" s="11" t="inlineStr">
        <is>
          <t>2026-01-01 to 2026-03-31</t>
        </is>
      </c>
      <c r="G64" s="11" t="inlineStr">
        <is>
          <t>Category A3</t>
        </is>
      </c>
      <c r="H64" s="10" t="inlineStr">
        <is>
          <t>Property / vehicle damage only (no casualty)</t>
        </is>
      </c>
      <c r="I64" s="12" t="n">
        <v>116</v>
      </c>
      <c r="J64" s="12" t="n">
        <v>0</v>
      </c>
      <c r="K64" s="12" t="n">
        <v>0</v>
      </c>
      <c r="L64" s="12">
        <f>J64+K64</f>
        <v/>
      </c>
      <c r="M64" s="11" t="inlineStr">
        <is>
          <t>66000</t>
        </is>
      </c>
      <c r="N64" s="11" t="inlineStr">
        <is>
          <t>(04)23274275</t>
        </is>
      </c>
      <c r="O64" s="10" t="inlineStr">
        <is>
          <t>Taichung City Delivery Driver Traffic Accident Statistics - 2026 Q1 (ROC 115)</t>
        </is>
      </c>
      <c r="P64" s="11" t="inlineStr">
        <is>
          <t>b41e113f-e480-4d9d-9ccd-18ce5f9e3c71</t>
        </is>
      </c>
    </row>
    <row r="65" ht="20" customHeight="1">
      <c r="A65" s="19" t="n">
        <v>61</v>
      </c>
      <c r="B65" s="20" t="inlineStr">
        <is>
          <t>2026 Q2</t>
        </is>
      </c>
      <c r="C65" s="21" t="n">
        <v>2026</v>
      </c>
      <c r="D65" s="19" t="n">
        <v>115</v>
      </c>
      <c r="E65" s="20" t="inlineStr">
        <is>
          <t>Q2</t>
        </is>
      </c>
      <c r="F65" s="20" t="inlineStr">
        <is>
          <t>2026-04-01 to 2026-06-30</t>
        </is>
      </c>
      <c r="G65" s="20" t="inlineStr">
        <is>
          <t>Total</t>
        </is>
      </c>
      <c r="H65" s="22" t="inlineStr">
        <is>
          <t>Total of all traffic accident categories</t>
        </is>
      </c>
      <c r="I65" s="23" t="n">
        <v>372</v>
      </c>
      <c r="J65" s="23" t="n">
        <v>1</v>
      </c>
      <c r="K65" s="23" t="n">
        <v>371</v>
      </c>
      <c r="L65" s="23">
        <f>J65+K65</f>
        <v/>
      </c>
      <c r="M65" s="20" t="inlineStr">
        <is>
          <t>66000</t>
        </is>
      </c>
      <c r="N65" s="20" t="inlineStr">
        <is>
          <t>(04)23274275</t>
        </is>
      </c>
      <c r="O65" s="22" t="inlineStr">
        <is>
          <t>Taichung City Delivery Driver Traffic Accident Statistics - 2026 Q2 (ROC 115)</t>
        </is>
      </c>
      <c r="P65" s="20" t="inlineStr">
        <is>
          <t>d4aea5c8-5913-4b1d-ad74-6c1aad5b166c</t>
        </is>
      </c>
    </row>
    <row r="66" ht="20" customHeight="1">
      <c r="A66" s="9" t="n">
        <v>62</v>
      </c>
      <c r="B66" s="11" t="inlineStr">
        <is>
          <t>2026 Q2</t>
        </is>
      </c>
      <c r="C66" s="24" t="n">
        <v>2026</v>
      </c>
      <c r="D66" s="9" t="n">
        <v>115</v>
      </c>
      <c r="E66" s="11" t="inlineStr">
        <is>
          <t>Q2</t>
        </is>
      </c>
      <c r="F66" s="11" t="inlineStr">
        <is>
          <t>2026-04-01 to 2026-06-30</t>
        </is>
      </c>
      <c r="G66" s="11" t="inlineStr">
        <is>
          <t>Category A1</t>
        </is>
      </c>
      <c r="H66" s="10" t="inlineStr">
        <is>
          <t>Fatal accidents (death on scene or within 24 hours)</t>
        </is>
      </c>
      <c r="I66" s="12" t="n">
        <v>1</v>
      </c>
      <c r="J66" s="12" t="n">
        <v>1</v>
      </c>
      <c r="K66" s="12" t="n">
        <v>0</v>
      </c>
      <c r="L66" s="12">
        <f>J66+K66</f>
        <v/>
      </c>
      <c r="M66" s="11" t="inlineStr">
        <is>
          <t>66000</t>
        </is>
      </c>
      <c r="N66" s="11" t="inlineStr">
        <is>
          <t>(04)23274275</t>
        </is>
      </c>
      <c r="O66" s="10" t="inlineStr">
        <is>
          <t>Taichung City Delivery Driver Traffic Accident Statistics - 2026 Q2 (ROC 115)</t>
        </is>
      </c>
      <c r="P66" s="11" t="inlineStr">
        <is>
          <t>d4aea5c8-5913-4b1d-ad74-6c1aad5b166c</t>
        </is>
      </c>
    </row>
    <row r="67" ht="20" customHeight="1">
      <c r="A67" s="4" t="n">
        <v>63</v>
      </c>
      <c r="B67" s="6" t="inlineStr">
        <is>
          <t>2026 Q2</t>
        </is>
      </c>
      <c r="C67" s="25" t="n">
        <v>2026</v>
      </c>
      <c r="D67" s="4" t="n">
        <v>115</v>
      </c>
      <c r="E67" s="6" t="inlineStr">
        <is>
          <t>Q2</t>
        </is>
      </c>
      <c r="F67" s="6" t="inlineStr">
        <is>
          <t>2026-04-01 to 2026-06-30</t>
        </is>
      </c>
      <c r="G67" s="6" t="inlineStr">
        <is>
          <t>Category A2</t>
        </is>
      </c>
      <c r="H67" s="5" t="inlineStr">
        <is>
          <t>Injury accidents (injury or death after 24 hours)</t>
        </is>
      </c>
      <c r="I67" s="7" t="n">
        <v>279</v>
      </c>
      <c r="J67" s="7" t="n">
        <v>0</v>
      </c>
      <c r="K67" s="7" t="n">
        <v>371</v>
      </c>
      <c r="L67" s="7">
        <f>J67+K67</f>
        <v/>
      </c>
      <c r="M67" s="6" t="inlineStr">
        <is>
          <t>66000</t>
        </is>
      </c>
      <c r="N67" s="6" t="inlineStr">
        <is>
          <t>(04)23274275</t>
        </is>
      </c>
      <c r="O67" s="5" t="inlineStr">
        <is>
          <t>Taichung City Delivery Driver Traffic Accident Statistics - 2026 Q2 (ROC 115)</t>
        </is>
      </c>
      <c r="P67" s="6" t="inlineStr">
        <is>
          <t>d4aea5c8-5913-4b1d-ad74-6c1aad5b166c</t>
        </is>
      </c>
    </row>
    <row r="68" ht="20" customHeight="1">
      <c r="A68" s="9" t="n">
        <v>64</v>
      </c>
      <c r="B68" s="11" t="inlineStr">
        <is>
          <t>2026 Q2</t>
        </is>
      </c>
      <c r="C68" s="24" t="n">
        <v>2026</v>
      </c>
      <c r="D68" s="9" t="n">
        <v>115</v>
      </c>
      <c r="E68" s="11" t="inlineStr">
        <is>
          <t>Q2</t>
        </is>
      </c>
      <c r="F68" s="11" t="inlineStr">
        <is>
          <t>2026-04-01 to 2026-06-30</t>
        </is>
      </c>
      <c r="G68" s="11" t="inlineStr">
        <is>
          <t>Category A3</t>
        </is>
      </c>
      <c r="H68" s="10" t="inlineStr">
        <is>
          <t>Property / vehicle damage only (no casualty)</t>
        </is>
      </c>
      <c r="I68" s="12" t="n">
        <v>92</v>
      </c>
      <c r="J68" s="12" t="n">
        <v>0</v>
      </c>
      <c r="K68" s="12" t="n">
        <v>0</v>
      </c>
      <c r="L68" s="12">
        <f>J68+K68</f>
        <v/>
      </c>
      <c r="M68" s="11" t="inlineStr">
        <is>
          <t>66000</t>
        </is>
      </c>
      <c r="N68" s="11" t="inlineStr">
        <is>
          <t>(04)23274275</t>
        </is>
      </c>
      <c r="O68" s="10" t="inlineStr">
        <is>
          <t>Taichung City Delivery Driver Traffic Accident Statistics - 2026 Q2 (ROC 115)</t>
        </is>
      </c>
      <c r="P68" s="11" t="inlineStr">
        <is>
          <t>d4aea5c8-5913-4b1d-ad74-6c1aad5b166c</t>
        </is>
      </c>
    </row>
  </sheetData>
  <autoFilter ref="A4:P6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36" customWidth="1" min="3" max="3"/>
    <col width="38" customWidth="1" min="4" max="4"/>
    <col width="12" customWidth="1" min="5" max="5"/>
    <col width="14" customWidth="1" min="6" max="6"/>
    <col width="12" customWidth="1" min="7" max="7"/>
    <col width="16" customWidth="1" min="8" max="8"/>
    <col width="32" customWidth="1" min="9" max="9"/>
    <col width="18" customWidth="1" min="10" max="10"/>
    <col width="14" customWidth="1" min="11" max="11"/>
    <col width="14" customWidth="1" min="12" max="12"/>
    <col width="14" customWidth="1" min="13" max="13"/>
    <col width="18" customWidth="1" min="14" max="14"/>
  </cols>
  <sheetData>
    <row r="1" ht="28" customHeight="1">
      <c r="A1" s="1" t="inlineStr">
        <is>
          <t>Taichung City Open Data Platform - All 17 Delivery Driver Datasets Raw Data Records</t>
        </is>
      </c>
    </row>
    <row r="2" ht="18" customHeight="1">
      <c r="A2" s="2" t="inlineStr">
        <is>
          <t>Exact line-by-line import from all 17 dataset CSV files for audit and validation</t>
        </is>
      </c>
    </row>
    <row r="4" ht="28" customHeight="1">
      <c r="A4" s="3" t="inlineStr">
        <is>
          <t>Dataset No.</t>
        </is>
      </c>
      <c r="B4" s="3" t="inlineStr">
        <is>
          <t>Dataset Title (English)</t>
        </is>
      </c>
      <c r="C4" s="3" t="inlineStr">
        <is>
          <t>Original Chinese Title</t>
        </is>
      </c>
      <c r="D4" s="3" t="inlineStr">
        <is>
          <t>Dataset ID (PID)</t>
        </is>
      </c>
      <c r="E4" s="3" t="inlineStr">
        <is>
          <t>Raw Row No.</t>
        </is>
      </c>
      <c r="F4" s="3" t="inlineStr">
        <is>
          <t>Record ID / SNo.</t>
        </is>
      </c>
      <c r="G4" s="3" t="inlineStr">
        <is>
          <t>City Code</t>
        </is>
      </c>
      <c r="H4" s="3" t="inlineStr">
        <is>
          <t>Telephone</t>
        </is>
      </c>
      <c r="I4" s="3" t="inlineStr">
        <is>
          <t>Raw Category / Date Column</t>
        </is>
      </c>
      <c r="J4" s="3" t="inlineStr">
        <is>
          <t>Normalized Category</t>
        </is>
      </c>
      <c r="K4" s="3" t="inlineStr">
        <is>
          <t>Incidents</t>
        </is>
      </c>
      <c r="L4" s="3" t="inlineStr">
        <is>
          <t>Fatalities</t>
        </is>
      </c>
      <c r="M4" s="3" t="inlineStr">
        <is>
          <t>Injuries</t>
        </is>
      </c>
      <c r="N4" s="3" t="inlineStr">
        <is>
          <t>Time Note</t>
        </is>
      </c>
    </row>
    <row r="5" ht="20" customHeight="1">
      <c r="A5" s="4" t="n">
        <v>1</v>
      </c>
      <c r="B5" s="5" t="inlineStr">
        <is>
          <t>Taichung City Delivery Driver Traffic Accident Statistics - 2025 Q4 (ROC 114)</t>
        </is>
      </c>
      <c r="C5" s="5" t="inlineStr">
        <is>
          <t>114年第四季臺中市外送員交通事故統計</t>
        </is>
      </c>
      <c r="D5" s="6" t="inlineStr">
        <is>
          <t>20238ddd-628e-48eb-818f-d02bf69bca39</t>
        </is>
      </c>
      <c r="E5" s="4" t="n">
        <v>1</v>
      </c>
      <c r="F5" s="6" t="inlineStr">
        <is>
          <t>1</t>
        </is>
      </c>
      <c r="G5" s="6" t="inlineStr">
        <is>
          <t>66000</t>
        </is>
      </c>
      <c r="H5" s="6" t="inlineStr">
        <is>
          <t>(04)23274275</t>
        </is>
      </c>
      <c r="I5" s="6" t="inlineStr">
        <is>
          <t>總計</t>
        </is>
      </c>
      <c r="J5" s="6" t="inlineStr">
        <is>
          <t>Total</t>
        </is>
      </c>
      <c r="K5" s="26" t="inlineStr">
        <is>
          <t>421</t>
        </is>
      </c>
      <c r="L5" s="26" t="inlineStr">
        <is>
          <t>-</t>
        </is>
      </c>
      <c r="M5" s="26" t="inlineStr">
        <is>
          <t>432</t>
        </is>
      </c>
      <c r="N5" s="6" t="inlineStr"/>
    </row>
    <row r="6" ht="20" customHeight="1">
      <c r="A6" s="9" t="n">
        <v>1</v>
      </c>
      <c r="B6" s="10" t="inlineStr">
        <is>
          <t>Taichung City Delivery Driver Traffic Accident Statistics - 2025 Q4 (ROC 114)</t>
        </is>
      </c>
      <c r="C6" s="10" t="inlineStr">
        <is>
          <t>114年第四季臺中市外送員交通事故統計</t>
        </is>
      </c>
      <c r="D6" s="11" t="inlineStr">
        <is>
          <t>20238ddd-628e-48eb-818f-d02bf69bca39</t>
        </is>
      </c>
      <c r="E6" s="9" t="n">
        <v>2</v>
      </c>
      <c r="F6" s="11" t="inlineStr">
        <is>
          <t>2</t>
        </is>
      </c>
      <c r="G6" s="11" t="inlineStr">
        <is>
          <t>66000</t>
        </is>
      </c>
      <c r="H6" s="11" t="inlineStr">
        <is>
          <t>(04)23274275</t>
        </is>
      </c>
      <c r="I6" s="11" t="inlineStr">
        <is>
          <t>A1類</t>
        </is>
      </c>
      <c r="J6" s="11" t="inlineStr">
        <is>
          <t>Category A1</t>
        </is>
      </c>
      <c r="K6" s="27" t="inlineStr">
        <is>
          <t>-</t>
        </is>
      </c>
      <c r="L6" s="27" t="inlineStr">
        <is>
          <t>-</t>
        </is>
      </c>
      <c r="M6" s="27" t="inlineStr">
        <is>
          <t>-</t>
        </is>
      </c>
      <c r="N6" s="11" t="inlineStr"/>
    </row>
    <row r="7" ht="20" customHeight="1">
      <c r="A7" s="4" t="n">
        <v>1</v>
      </c>
      <c r="B7" s="5" t="inlineStr">
        <is>
          <t>Taichung City Delivery Driver Traffic Accident Statistics - 2025 Q4 (ROC 114)</t>
        </is>
      </c>
      <c r="C7" s="5" t="inlineStr">
        <is>
          <t>114年第四季臺中市外送員交通事故統計</t>
        </is>
      </c>
      <c r="D7" s="6" t="inlineStr">
        <is>
          <t>20238ddd-628e-48eb-818f-d02bf69bca39</t>
        </is>
      </c>
      <c r="E7" s="4" t="n">
        <v>3</v>
      </c>
      <c r="F7" s="6" t="inlineStr">
        <is>
          <t>3</t>
        </is>
      </c>
      <c r="G7" s="6" t="inlineStr">
        <is>
          <t>66000</t>
        </is>
      </c>
      <c r="H7" s="6" t="inlineStr">
        <is>
          <t>(04)23274275</t>
        </is>
      </c>
      <c r="I7" s="6" t="inlineStr">
        <is>
          <t>A2類</t>
        </is>
      </c>
      <c r="J7" s="6" t="inlineStr">
        <is>
          <t>Category A2</t>
        </is>
      </c>
      <c r="K7" s="26" t="inlineStr">
        <is>
          <t>310</t>
        </is>
      </c>
      <c r="L7" s="26" t="inlineStr">
        <is>
          <t>-</t>
        </is>
      </c>
      <c r="M7" s="26" t="inlineStr">
        <is>
          <t>432</t>
        </is>
      </c>
      <c r="N7" s="6" t="inlineStr"/>
    </row>
    <row r="8" ht="20" customHeight="1">
      <c r="A8" s="9" t="n">
        <v>1</v>
      </c>
      <c r="B8" s="10" t="inlineStr">
        <is>
          <t>Taichung City Delivery Driver Traffic Accident Statistics - 2025 Q4 (ROC 114)</t>
        </is>
      </c>
      <c r="C8" s="10" t="inlineStr">
        <is>
          <t>114年第四季臺中市外送員交通事故統計</t>
        </is>
      </c>
      <c r="D8" s="11" t="inlineStr">
        <is>
          <t>20238ddd-628e-48eb-818f-d02bf69bca39</t>
        </is>
      </c>
      <c r="E8" s="9" t="n">
        <v>4</v>
      </c>
      <c r="F8" s="11" t="inlineStr">
        <is>
          <t>4</t>
        </is>
      </c>
      <c r="G8" s="11" t="inlineStr">
        <is>
          <t>66000</t>
        </is>
      </c>
      <c r="H8" s="11" t="inlineStr">
        <is>
          <t>(04)23274275</t>
        </is>
      </c>
      <c r="I8" s="11" t="inlineStr">
        <is>
          <t>A3類</t>
        </is>
      </c>
      <c r="J8" s="11" t="inlineStr">
        <is>
          <t>Category A3</t>
        </is>
      </c>
      <c r="K8" s="27" t="inlineStr">
        <is>
          <t>111</t>
        </is>
      </c>
      <c r="L8" s="27" t="inlineStr">
        <is>
          <t>-</t>
        </is>
      </c>
      <c r="M8" s="27" t="inlineStr">
        <is>
          <t>-</t>
        </is>
      </c>
      <c r="N8" s="11" t="inlineStr"/>
    </row>
    <row r="9" ht="20" customHeight="1">
      <c r="A9" s="4" t="n">
        <v>2</v>
      </c>
      <c r="B9" s="5" t="inlineStr">
        <is>
          <t>Taichung City Delivery Driver Traffic Accident Statistics - 2025 Q3 (ROC 114)</t>
        </is>
      </c>
      <c r="C9" s="5" t="inlineStr">
        <is>
          <t>114年第三季臺中市外送員交通事故統計</t>
        </is>
      </c>
      <c r="D9" s="6" t="inlineStr">
        <is>
          <t>a43b62c7-0aff-4827-a957-46c2a58eaa6b</t>
        </is>
      </c>
      <c r="E9" s="4" t="n">
        <v>1</v>
      </c>
      <c r="F9" s="6" t="inlineStr">
        <is>
          <t>1</t>
        </is>
      </c>
      <c r="G9" s="6" t="inlineStr">
        <is>
          <t>66000</t>
        </is>
      </c>
      <c r="H9" s="6" t="inlineStr">
        <is>
          <t>(04)23274275</t>
        </is>
      </c>
      <c r="I9" s="6" t="inlineStr">
        <is>
          <t>總計</t>
        </is>
      </c>
      <c r="J9" s="6" t="inlineStr">
        <is>
          <t>Total</t>
        </is>
      </c>
      <c r="K9" s="26" t="inlineStr">
        <is>
          <t>389</t>
        </is>
      </c>
      <c r="L9" s="26" t="inlineStr">
        <is>
          <t>-</t>
        </is>
      </c>
      <c r="M9" s="26" t="inlineStr">
        <is>
          <t>388</t>
        </is>
      </c>
      <c r="N9" s="6" t="inlineStr"/>
    </row>
    <row r="10" ht="20" customHeight="1">
      <c r="A10" s="9" t="n">
        <v>2</v>
      </c>
      <c r="B10" s="10" t="inlineStr">
        <is>
          <t>Taichung City Delivery Driver Traffic Accident Statistics - 2025 Q3 (ROC 114)</t>
        </is>
      </c>
      <c r="C10" s="10" t="inlineStr">
        <is>
          <t>114年第三季臺中市外送員交通事故統計</t>
        </is>
      </c>
      <c r="D10" s="11" t="inlineStr">
        <is>
          <t>a43b62c7-0aff-4827-a957-46c2a58eaa6b</t>
        </is>
      </c>
      <c r="E10" s="9" t="n">
        <v>2</v>
      </c>
      <c r="F10" s="11" t="inlineStr">
        <is>
          <t>2</t>
        </is>
      </c>
      <c r="G10" s="11" t="inlineStr">
        <is>
          <t>66000</t>
        </is>
      </c>
      <c r="H10" s="11" t="inlineStr">
        <is>
          <t>(04)23274275</t>
        </is>
      </c>
      <c r="I10" s="11" t="inlineStr">
        <is>
          <t>A1類</t>
        </is>
      </c>
      <c r="J10" s="11" t="inlineStr">
        <is>
          <t>Category A1</t>
        </is>
      </c>
      <c r="K10" s="27" t="inlineStr">
        <is>
          <t>-</t>
        </is>
      </c>
      <c r="L10" s="27" t="inlineStr">
        <is>
          <t>-</t>
        </is>
      </c>
      <c r="M10" s="27" t="inlineStr">
        <is>
          <t>-</t>
        </is>
      </c>
      <c r="N10" s="11" t="inlineStr"/>
    </row>
    <row r="11" ht="20" customHeight="1">
      <c r="A11" s="4" t="n">
        <v>2</v>
      </c>
      <c r="B11" s="5" t="inlineStr">
        <is>
          <t>Taichung City Delivery Driver Traffic Accident Statistics - 2025 Q3 (ROC 114)</t>
        </is>
      </c>
      <c r="C11" s="5" t="inlineStr">
        <is>
          <t>114年第三季臺中市外送員交通事故統計</t>
        </is>
      </c>
      <c r="D11" s="6" t="inlineStr">
        <is>
          <t>a43b62c7-0aff-4827-a957-46c2a58eaa6b</t>
        </is>
      </c>
      <c r="E11" s="4" t="n">
        <v>3</v>
      </c>
      <c r="F11" s="6" t="inlineStr">
        <is>
          <t>3</t>
        </is>
      </c>
      <c r="G11" s="6" t="inlineStr">
        <is>
          <t>66000</t>
        </is>
      </c>
      <c r="H11" s="6" t="inlineStr">
        <is>
          <t>(04)23274275</t>
        </is>
      </c>
      <c r="I11" s="6" t="inlineStr">
        <is>
          <t>A2類</t>
        </is>
      </c>
      <c r="J11" s="6" t="inlineStr">
        <is>
          <t>Category A2</t>
        </is>
      </c>
      <c r="K11" s="26" t="inlineStr">
        <is>
          <t>295</t>
        </is>
      </c>
      <c r="L11" s="26" t="inlineStr">
        <is>
          <t>-</t>
        </is>
      </c>
      <c r="M11" s="26" t="inlineStr">
        <is>
          <t>388</t>
        </is>
      </c>
      <c r="N11" s="6" t="inlineStr"/>
    </row>
    <row r="12" ht="20" customHeight="1">
      <c r="A12" s="9" t="n">
        <v>2</v>
      </c>
      <c r="B12" s="10" t="inlineStr">
        <is>
          <t>Taichung City Delivery Driver Traffic Accident Statistics - 2025 Q3 (ROC 114)</t>
        </is>
      </c>
      <c r="C12" s="10" t="inlineStr">
        <is>
          <t>114年第三季臺中市外送員交通事故統計</t>
        </is>
      </c>
      <c r="D12" s="11" t="inlineStr">
        <is>
          <t>a43b62c7-0aff-4827-a957-46c2a58eaa6b</t>
        </is>
      </c>
      <c r="E12" s="9" t="n">
        <v>4</v>
      </c>
      <c r="F12" s="11" t="inlineStr">
        <is>
          <t>4</t>
        </is>
      </c>
      <c r="G12" s="11" t="inlineStr">
        <is>
          <t>66000</t>
        </is>
      </c>
      <c r="H12" s="11" t="inlineStr">
        <is>
          <t>(04)23274275</t>
        </is>
      </c>
      <c r="I12" s="11" t="inlineStr">
        <is>
          <t>A3類</t>
        </is>
      </c>
      <c r="J12" s="11" t="inlineStr">
        <is>
          <t>Category A3</t>
        </is>
      </c>
      <c r="K12" s="27" t="inlineStr">
        <is>
          <t>94</t>
        </is>
      </c>
      <c r="L12" s="27" t="inlineStr">
        <is>
          <t>-</t>
        </is>
      </c>
      <c r="M12" s="27" t="inlineStr">
        <is>
          <t>-</t>
        </is>
      </c>
      <c r="N12" s="11" t="inlineStr"/>
    </row>
    <row r="13" ht="20" customHeight="1">
      <c r="A13" s="4" t="n">
        <v>3</v>
      </c>
      <c r="B13" s="5" t="inlineStr">
        <is>
          <t>Taichung City Delivery Driver Traffic Accident Statistics - 2025 Q2 (ROC 114)</t>
        </is>
      </c>
      <c r="C13" s="5" t="inlineStr">
        <is>
          <t>114年第二季臺中市外送員交通事故統計</t>
        </is>
      </c>
      <c r="D13" s="6" t="inlineStr">
        <is>
          <t>f6559da6-511f-4d8c-b33d-47e6faed1574</t>
        </is>
      </c>
      <c r="E13" s="4" t="n">
        <v>1</v>
      </c>
      <c r="F13" s="6" t="inlineStr">
        <is>
          <t>1</t>
        </is>
      </c>
      <c r="G13" s="6" t="inlineStr">
        <is>
          <t>66000</t>
        </is>
      </c>
      <c r="H13" s="6" t="inlineStr">
        <is>
          <t>(04)23274275</t>
        </is>
      </c>
      <c r="I13" s="6" t="inlineStr">
        <is>
          <t>總計</t>
        </is>
      </c>
      <c r="J13" s="6" t="inlineStr">
        <is>
          <t>Total</t>
        </is>
      </c>
      <c r="K13" s="26" t="inlineStr">
        <is>
          <t>388</t>
        </is>
      </c>
      <c r="L13" s="26" t="inlineStr">
        <is>
          <t>-</t>
        </is>
      </c>
      <c r="M13" s="26" t="inlineStr">
        <is>
          <t>380</t>
        </is>
      </c>
      <c r="N13" s="6" t="inlineStr"/>
    </row>
    <row r="14" ht="20" customHeight="1">
      <c r="A14" s="9" t="n">
        <v>3</v>
      </c>
      <c r="B14" s="10" t="inlineStr">
        <is>
          <t>Taichung City Delivery Driver Traffic Accident Statistics - 2025 Q2 (ROC 114)</t>
        </is>
      </c>
      <c r="C14" s="10" t="inlineStr">
        <is>
          <t>114年第二季臺中市外送員交通事故統計</t>
        </is>
      </c>
      <c r="D14" s="11" t="inlineStr">
        <is>
          <t>f6559da6-511f-4d8c-b33d-47e6faed1574</t>
        </is>
      </c>
      <c r="E14" s="9" t="n">
        <v>2</v>
      </c>
      <c r="F14" s="11" t="inlineStr">
        <is>
          <t>2</t>
        </is>
      </c>
      <c r="G14" s="11" t="inlineStr">
        <is>
          <t>66000</t>
        </is>
      </c>
      <c r="H14" s="11" t="inlineStr">
        <is>
          <t>(04)23274275</t>
        </is>
      </c>
      <c r="I14" s="11" t="inlineStr">
        <is>
          <t>A1類</t>
        </is>
      </c>
      <c r="J14" s="11" t="inlineStr">
        <is>
          <t>Category A1</t>
        </is>
      </c>
      <c r="K14" s="27" t="inlineStr">
        <is>
          <t>-</t>
        </is>
      </c>
      <c r="L14" s="27" t="inlineStr">
        <is>
          <t>-</t>
        </is>
      </c>
      <c r="M14" s="27" t="inlineStr">
        <is>
          <t>-</t>
        </is>
      </c>
      <c r="N14" s="11" t="inlineStr"/>
    </row>
    <row r="15" ht="20" customHeight="1">
      <c r="A15" s="4" t="n">
        <v>3</v>
      </c>
      <c r="B15" s="5" t="inlineStr">
        <is>
          <t>Taichung City Delivery Driver Traffic Accident Statistics - 2025 Q2 (ROC 114)</t>
        </is>
      </c>
      <c r="C15" s="5" t="inlineStr">
        <is>
          <t>114年第二季臺中市外送員交通事故統計</t>
        </is>
      </c>
      <c r="D15" s="6" t="inlineStr">
        <is>
          <t>f6559da6-511f-4d8c-b33d-47e6faed1574</t>
        </is>
      </c>
      <c r="E15" s="4" t="n">
        <v>3</v>
      </c>
      <c r="F15" s="6" t="inlineStr">
        <is>
          <t>3</t>
        </is>
      </c>
      <c r="G15" s="6" t="inlineStr">
        <is>
          <t>66000</t>
        </is>
      </c>
      <c r="H15" s="6" t="inlineStr">
        <is>
          <t>(04)23274275</t>
        </is>
      </c>
      <c r="I15" s="6" t="inlineStr">
        <is>
          <t>A2類</t>
        </is>
      </c>
      <c r="J15" s="6" t="inlineStr">
        <is>
          <t>Category A2</t>
        </is>
      </c>
      <c r="K15" s="26" t="inlineStr">
        <is>
          <t>282</t>
        </is>
      </c>
      <c r="L15" s="26" t="inlineStr">
        <is>
          <t>-</t>
        </is>
      </c>
      <c r="M15" s="26" t="inlineStr">
        <is>
          <t>380</t>
        </is>
      </c>
      <c r="N15" s="6" t="inlineStr"/>
    </row>
    <row r="16" ht="20" customHeight="1">
      <c r="A16" s="9" t="n">
        <v>3</v>
      </c>
      <c r="B16" s="10" t="inlineStr">
        <is>
          <t>Taichung City Delivery Driver Traffic Accident Statistics - 2025 Q2 (ROC 114)</t>
        </is>
      </c>
      <c r="C16" s="10" t="inlineStr">
        <is>
          <t>114年第二季臺中市外送員交通事故統計</t>
        </is>
      </c>
      <c r="D16" s="11" t="inlineStr">
        <is>
          <t>f6559da6-511f-4d8c-b33d-47e6faed1574</t>
        </is>
      </c>
      <c r="E16" s="9" t="n">
        <v>4</v>
      </c>
      <c r="F16" s="11" t="inlineStr">
        <is>
          <t>4</t>
        </is>
      </c>
      <c r="G16" s="11" t="inlineStr">
        <is>
          <t>66000</t>
        </is>
      </c>
      <c r="H16" s="11" t="inlineStr">
        <is>
          <t>(04)23274275</t>
        </is>
      </c>
      <c r="I16" s="11" t="inlineStr">
        <is>
          <t>A3類</t>
        </is>
      </c>
      <c r="J16" s="11" t="inlineStr">
        <is>
          <t>Category A3</t>
        </is>
      </c>
      <c r="K16" s="27" t="inlineStr">
        <is>
          <t>106</t>
        </is>
      </c>
      <c r="L16" s="27" t="inlineStr">
        <is>
          <t>-</t>
        </is>
      </c>
      <c r="M16" s="27" t="inlineStr">
        <is>
          <t>-</t>
        </is>
      </c>
      <c r="N16" s="11" t="inlineStr"/>
    </row>
    <row r="17" ht="20" customHeight="1">
      <c r="A17" s="4" t="n">
        <v>4</v>
      </c>
      <c r="B17" s="5" t="inlineStr">
        <is>
          <t>Taichung City Delivery Driver Traffic Accident Statistics - 2022 Q4 (ROC 111)</t>
        </is>
      </c>
      <c r="C17" s="5" t="inlineStr">
        <is>
          <t>111年第四季臺中市外送員交通事故統計</t>
        </is>
      </c>
      <c r="D17" s="6" t="inlineStr">
        <is>
          <t>ce155bf5-b420-4f6d-86c3-ca61c03095d1</t>
        </is>
      </c>
      <c r="E17" s="4" t="n">
        <v>1</v>
      </c>
      <c r="F17" s="6" t="inlineStr"/>
      <c r="G17" s="6" t="inlineStr">
        <is>
          <t>66000</t>
        </is>
      </c>
      <c r="H17" s="6" t="inlineStr"/>
      <c r="I17" s="6" t="inlineStr">
        <is>
          <t>總計 (111年10月01日 至 111年12月31日)</t>
        </is>
      </c>
      <c r="J17" s="6" t="inlineStr">
        <is>
          <t>Total</t>
        </is>
      </c>
      <c r="K17" s="26" t="inlineStr">
        <is>
          <t>363</t>
        </is>
      </c>
      <c r="L17" s="26" t="inlineStr">
        <is>
          <t>0</t>
        </is>
      </c>
      <c r="M17" s="26" t="inlineStr">
        <is>
          <t>411</t>
        </is>
      </c>
      <c r="N17" s="6" t="inlineStr"/>
    </row>
    <row r="18" ht="20" customHeight="1">
      <c r="A18" s="9" t="n">
        <v>4</v>
      </c>
      <c r="B18" s="10" t="inlineStr">
        <is>
          <t>Taichung City Delivery Driver Traffic Accident Statistics - 2022 Q4 (ROC 111)</t>
        </is>
      </c>
      <c r="C18" s="10" t="inlineStr">
        <is>
          <t>111年第四季臺中市外送員交通事故統計</t>
        </is>
      </c>
      <c r="D18" s="11" t="inlineStr">
        <is>
          <t>ce155bf5-b420-4f6d-86c3-ca61c03095d1</t>
        </is>
      </c>
      <c r="E18" s="9" t="n">
        <v>2</v>
      </c>
      <c r="F18" s="11" t="inlineStr"/>
      <c r="G18" s="11" t="inlineStr">
        <is>
          <t>66000</t>
        </is>
      </c>
      <c r="H18" s="11" t="inlineStr"/>
      <c r="I18" s="11" t="inlineStr">
        <is>
          <t>A1 (111年10月01日 至 111年12月31日)</t>
        </is>
      </c>
      <c r="J18" s="11" t="inlineStr">
        <is>
          <t>Category A1</t>
        </is>
      </c>
      <c r="K18" s="27" t="inlineStr">
        <is>
          <t>-</t>
        </is>
      </c>
      <c r="L18" s="27" t="inlineStr">
        <is>
          <t>-</t>
        </is>
      </c>
      <c r="M18" s="27" t="inlineStr">
        <is>
          <t>-</t>
        </is>
      </c>
      <c r="N18" s="11" t="inlineStr"/>
    </row>
    <row r="19" ht="20" customHeight="1">
      <c r="A19" s="4" t="n">
        <v>4</v>
      </c>
      <c r="B19" s="5" t="inlineStr">
        <is>
          <t>Taichung City Delivery Driver Traffic Accident Statistics - 2022 Q4 (ROC 111)</t>
        </is>
      </c>
      <c r="C19" s="5" t="inlineStr">
        <is>
          <t>111年第四季臺中市外送員交通事故統計</t>
        </is>
      </c>
      <c r="D19" s="6" t="inlineStr">
        <is>
          <t>ce155bf5-b420-4f6d-86c3-ca61c03095d1</t>
        </is>
      </c>
      <c r="E19" s="4" t="n">
        <v>3</v>
      </c>
      <c r="F19" s="6" t="inlineStr"/>
      <c r="G19" s="6" t="inlineStr">
        <is>
          <t>66000</t>
        </is>
      </c>
      <c r="H19" s="6" t="inlineStr"/>
      <c r="I19" s="6" t="inlineStr">
        <is>
          <t>A2 (111年10月01日 至 111年12月31日)</t>
        </is>
      </c>
      <c r="J19" s="6" t="inlineStr">
        <is>
          <t>Category A2</t>
        </is>
      </c>
      <c r="K19" s="26" t="inlineStr">
        <is>
          <t>290</t>
        </is>
      </c>
      <c r="L19" s="26" t="inlineStr">
        <is>
          <t>-</t>
        </is>
      </c>
      <c r="M19" s="26" t="inlineStr">
        <is>
          <t>411</t>
        </is>
      </c>
      <c r="N19" s="6" t="inlineStr"/>
    </row>
    <row r="20" ht="20" customHeight="1">
      <c r="A20" s="9" t="n">
        <v>4</v>
      </c>
      <c r="B20" s="10" t="inlineStr">
        <is>
          <t>Taichung City Delivery Driver Traffic Accident Statistics - 2022 Q4 (ROC 111)</t>
        </is>
      </c>
      <c r="C20" s="10" t="inlineStr">
        <is>
          <t>111年第四季臺中市外送員交通事故統計</t>
        </is>
      </c>
      <c r="D20" s="11" t="inlineStr">
        <is>
          <t>ce155bf5-b420-4f6d-86c3-ca61c03095d1</t>
        </is>
      </c>
      <c r="E20" s="9" t="n">
        <v>4</v>
      </c>
      <c r="F20" s="11" t="inlineStr"/>
      <c r="G20" s="11" t="inlineStr">
        <is>
          <t>66000</t>
        </is>
      </c>
      <c r="H20" s="11" t="inlineStr"/>
      <c r="I20" s="11" t="inlineStr">
        <is>
          <t>A3 (111年10月01日 至 111年12月31日)</t>
        </is>
      </c>
      <c r="J20" s="11" t="inlineStr">
        <is>
          <t>Category A3</t>
        </is>
      </c>
      <c r="K20" s="27" t="inlineStr">
        <is>
          <t>73</t>
        </is>
      </c>
      <c r="L20" s="27" t="inlineStr">
        <is>
          <t>-</t>
        </is>
      </c>
      <c r="M20" s="27" t="inlineStr">
        <is>
          <t>-</t>
        </is>
      </c>
      <c r="N20" s="11" t="inlineStr"/>
    </row>
    <row r="21" ht="20" customHeight="1">
      <c r="A21" s="4" t="n">
        <v>5</v>
      </c>
      <c r="B21" s="5" t="inlineStr">
        <is>
          <t>Taichung City Delivery Driver Traffic Accident Statistics - 2023 Q1 (ROC 112)</t>
        </is>
      </c>
      <c r="C21" s="5" t="inlineStr">
        <is>
          <t>112年第一季臺中市外送員交通事故統計</t>
        </is>
      </c>
      <c r="D21" s="6" t="inlineStr">
        <is>
          <t>0cb2aa2f-838b-4d09-bd08-bd90844acf74</t>
        </is>
      </c>
      <c r="E21" s="4" t="n">
        <v>1</v>
      </c>
      <c r="F21" s="6" t="inlineStr"/>
      <c r="G21" s="6" t="inlineStr">
        <is>
          <t>66000</t>
        </is>
      </c>
      <c r="H21" s="6" t="inlineStr"/>
      <c r="I21" s="6" t="inlineStr">
        <is>
          <t>總計 (112年01月01日 至 112年03月31日)</t>
        </is>
      </c>
      <c r="J21" s="6" t="inlineStr">
        <is>
          <t>Total</t>
        </is>
      </c>
      <c r="K21" s="26" t="inlineStr">
        <is>
          <t>433</t>
        </is>
      </c>
      <c r="L21" s="26" t="inlineStr">
        <is>
          <t>1</t>
        </is>
      </c>
      <c r="M21" s="26" t="inlineStr">
        <is>
          <t>518</t>
        </is>
      </c>
      <c r="N21" s="6" t="inlineStr"/>
    </row>
    <row r="22" ht="20" customHeight="1">
      <c r="A22" s="9" t="n">
        <v>5</v>
      </c>
      <c r="B22" s="10" t="inlineStr">
        <is>
          <t>Taichung City Delivery Driver Traffic Accident Statistics - 2023 Q1 (ROC 112)</t>
        </is>
      </c>
      <c r="C22" s="10" t="inlineStr">
        <is>
          <t>112年第一季臺中市外送員交通事故統計</t>
        </is>
      </c>
      <c r="D22" s="11" t="inlineStr">
        <is>
          <t>0cb2aa2f-838b-4d09-bd08-bd90844acf74</t>
        </is>
      </c>
      <c r="E22" s="9" t="n">
        <v>2</v>
      </c>
      <c r="F22" s="11" t="inlineStr"/>
      <c r="G22" s="11" t="inlineStr">
        <is>
          <t>66000</t>
        </is>
      </c>
      <c r="H22" s="11" t="inlineStr"/>
      <c r="I22" s="11" t="inlineStr">
        <is>
          <t>A1類 (112年01月01日 至 112年03月31日)</t>
        </is>
      </c>
      <c r="J22" s="11" t="inlineStr">
        <is>
          <t>Category A1</t>
        </is>
      </c>
      <c r="K22" s="27" t="inlineStr">
        <is>
          <t>1</t>
        </is>
      </c>
      <c r="L22" s="27" t="inlineStr">
        <is>
          <t>1</t>
        </is>
      </c>
      <c r="M22" s="27" t="inlineStr">
        <is>
          <t>-</t>
        </is>
      </c>
      <c r="N22" s="11" t="inlineStr"/>
    </row>
    <row r="23" ht="20" customHeight="1">
      <c r="A23" s="4" t="n">
        <v>5</v>
      </c>
      <c r="B23" s="5" t="inlineStr">
        <is>
          <t>Taichung City Delivery Driver Traffic Accident Statistics - 2023 Q1 (ROC 112)</t>
        </is>
      </c>
      <c r="C23" s="5" t="inlineStr">
        <is>
          <t>112年第一季臺中市外送員交通事故統計</t>
        </is>
      </c>
      <c r="D23" s="6" t="inlineStr">
        <is>
          <t>0cb2aa2f-838b-4d09-bd08-bd90844acf74</t>
        </is>
      </c>
      <c r="E23" s="4" t="n">
        <v>3</v>
      </c>
      <c r="F23" s="6" t="inlineStr"/>
      <c r="G23" s="6" t="inlineStr">
        <is>
          <t>66000</t>
        </is>
      </c>
      <c r="H23" s="6" t="inlineStr"/>
      <c r="I23" s="6" t="inlineStr">
        <is>
          <t>A2類 (112年01月01日 至 112年03月31日)</t>
        </is>
      </c>
      <c r="J23" s="6" t="inlineStr">
        <is>
          <t>Category A2</t>
        </is>
      </c>
      <c r="K23" s="26" t="inlineStr">
        <is>
          <t>348</t>
        </is>
      </c>
      <c r="L23" s="26" t="inlineStr">
        <is>
          <t>-</t>
        </is>
      </c>
      <c r="M23" s="26" t="inlineStr">
        <is>
          <t>518</t>
        </is>
      </c>
      <c r="N23" s="6" t="inlineStr"/>
    </row>
    <row r="24" ht="20" customHeight="1">
      <c r="A24" s="9" t="n">
        <v>5</v>
      </c>
      <c r="B24" s="10" t="inlineStr">
        <is>
          <t>Taichung City Delivery Driver Traffic Accident Statistics - 2023 Q1 (ROC 112)</t>
        </is>
      </c>
      <c r="C24" s="10" t="inlineStr">
        <is>
          <t>112年第一季臺中市外送員交通事故統計</t>
        </is>
      </c>
      <c r="D24" s="11" t="inlineStr">
        <is>
          <t>0cb2aa2f-838b-4d09-bd08-bd90844acf74</t>
        </is>
      </c>
      <c r="E24" s="9" t="n">
        <v>4</v>
      </c>
      <c r="F24" s="11" t="inlineStr"/>
      <c r="G24" s="11" t="inlineStr">
        <is>
          <t>66000</t>
        </is>
      </c>
      <c r="H24" s="11" t="inlineStr"/>
      <c r="I24" s="11" t="inlineStr">
        <is>
          <t>A3類 (112年01月01日 至 112年03月31日)</t>
        </is>
      </c>
      <c r="J24" s="11" t="inlineStr">
        <is>
          <t>Category A3</t>
        </is>
      </c>
      <c r="K24" s="27" t="inlineStr">
        <is>
          <t>84</t>
        </is>
      </c>
      <c r="L24" s="27" t="inlineStr">
        <is>
          <t>-</t>
        </is>
      </c>
      <c r="M24" s="27" t="inlineStr">
        <is>
          <t>-</t>
        </is>
      </c>
      <c r="N24" s="11" t="inlineStr"/>
    </row>
    <row r="25" ht="20" customHeight="1">
      <c r="A25" s="4" t="n">
        <v>6</v>
      </c>
      <c r="B25" s="5" t="inlineStr">
        <is>
          <t>Taichung City Delivery Driver Traffic Accident Statistics - 2026 Q2 (ROC 115)</t>
        </is>
      </c>
      <c r="C25" s="5" t="inlineStr">
        <is>
          <t>115年第二季臺中市外送員交通事故統計</t>
        </is>
      </c>
      <c r="D25" s="6" t="inlineStr">
        <is>
          <t>d4aea5c8-5913-4b1d-ad74-6c1aad5b166c</t>
        </is>
      </c>
      <c r="E25" s="4" t="n">
        <v>1</v>
      </c>
      <c r="F25" s="6" t="inlineStr">
        <is>
          <t>1</t>
        </is>
      </c>
      <c r="G25" s="6" t="inlineStr">
        <is>
          <t>66000</t>
        </is>
      </c>
      <c r="H25" s="6" t="inlineStr">
        <is>
          <t>(04)23274275</t>
        </is>
      </c>
      <c r="I25" s="6" t="inlineStr">
        <is>
          <t>總計</t>
        </is>
      </c>
      <c r="J25" s="6" t="inlineStr">
        <is>
          <t>Total</t>
        </is>
      </c>
      <c r="K25" s="26" t="inlineStr">
        <is>
          <t>372</t>
        </is>
      </c>
      <c r="L25" s="26" t="inlineStr">
        <is>
          <t>1</t>
        </is>
      </c>
      <c r="M25" s="26" t="inlineStr">
        <is>
          <t>371</t>
        </is>
      </c>
      <c r="N25" s="6" t="inlineStr"/>
    </row>
    <row r="26" ht="20" customHeight="1">
      <c r="A26" s="9" t="n">
        <v>6</v>
      </c>
      <c r="B26" s="10" t="inlineStr">
        <is>
          <t>Taichung City Delivery Driver Traffic Accident Statistics - 2026 Q2 (ROC 115)</t>
        </is>
      </c>
      <c r="C26" s="10" t="inlineStr">
        <is>
          <t>115年第二季臺中市外送員交通事故統計</t>
        </is>
      </c>
      <c r="D26" s="11" t="inlineStr">
        <is>
          <t>d4aea5c8-5913-4b1d-ad74-6c1aad5b166c</t>
        </is>
      </c>
      <c r="E26" s="9" t="n">
        <v>2</v>
      </c>
      <c r="F26" s="11" t="inlineStr">
        <is>
          <t>2</t>
        </is>
      </c>
      <c r="G26" s="11" t="inlineStr">
        <is>
          <t>66000</t>
        </is>
      </c>
      <c r="H26" s="11" t="inlineStr">
        <is>
          <t>(04)23274275</t>
        </is>
      </c>
      <c r="I26" s="11" t="inlineStr">
        <is>
          <t>A1類</t>
        </is>
      </c>
      <c r="J26" s="11" t="inlineStr">
        <is>
          <t>Category A1</t>
        </is>
      </c>
      <c r="K26" s="27" t="inlineStr">
        <is>
          <t>1</t>
        </is>
      </c>
      <c r="L26" s="27" t="inlineStr">
        <is>
          <t>1</t>
        </is>
      </c>
      <c r="M26" s="27" t="inlineStr">
        <is>
          <t>-</t>
        </is>
      </c>
      <c r="N26" s="11" t="inlineStr"/>
    </row>
    <row r="27" ht="20" customHeight="1">
      <c r="A27" s="4" t="n">
        <v>6</v>
      </c>
      <c r="B27" s="5" t="inlineStr">
        <is>
          <t>Taichung City Delivery Driver Traffic Accident Statistics - 2026 Q2 (ROC 115)</t>
        </is>
      </c>
      <c r="C27" s="5" t="inlineStr">
        <is>
          <t>115年第二季臺中市外送員交通事故統計</t>
        </is>
      </c>
      <c r="D27" s="6" t="inlineStr">
        <is>
          <t>d4aea5c8-5913-4b1d-ad74-6c1aad5b166c</t>
        </is>
      </c>
      <c r="E27" s="4" t="n">
        <v>3</v>
      </c>
      <c r="F27" s="6" t="inlineStr">
        <is>
          <t>3</t>
        </is>
      </c>
      <c r="G27" s="6" t="inlineStr">
        <is>
          <t>66000</t>
        </is>
      </c>
      <c r="H27" s="6" t="inlineStr">
        <is>
          <t>(04)23274275</t>
        </is>
      </c>
      <c r="I27" s="6" t="inlineStr">
        <is>
          <t>A2類</t>
        </is>
      </c>
      <c r="J27" s="6" t="inlineStr">
        <is>
          <t>Category A2</t>
        </is>
      </c>
      <c r="K27" s="26" t="inlineStr">
        <is>
          <t>279</t>
        </is>
      </c>
      <c r="L27" s="26" t="inlineStr">
        <is>
          <t>-</t>
        </is>
      </c>
      <c r="M27" s="26" t="inlineStr">
        <is>
          <t>371</t>
        </is>
      </c>
      <c r="N27" s="6" t="inlineStr"/>
    </row>
    <row r="28" ht="20" customHeight="1">
      <c r="A28" s="9" t="n">
        <v>6</v>
      </c>
      <c r="B28" s="10" t="inlineStr">
        <is>
          <t>Taichung City Delivery Driver Traffic Accident Statistics - 2026 Q2 (ROC 115)</t>
        </is>
      </c>
      <c r="C28" s="10" t="inlineStr">
        <is>
          <t>115年第二季臺中市外送員交通事故統計</t>
        </is>
      </c>
      <c r="D28" s="11" t="inlineStr">
        <is>
          <t>d4aea5c8-5913-4b1d-ad74-6c1aad5b166c</t>
        </is>
      </c>
      <c r="E28" s="9" t="n">
        <v>4</v>
      </c>
      <c r="F28" s="11" t="inlineStr">
        <is>
          <t>4</t>
        </is>
      </c>
      <c r="G28" s="11" t="inlineStr">
        <is>
          <t>66000</t>
        </is>
      </c>
      <c r="H28" s="11" t="inlineStr">
        <is>
          <t>(04)23274275</t>
        </is>
      </c>
      <c r="I28" s="11" t="inlineStr">
        <is>
          <t>A3類</t>
        </is>
      </c>
      <c r="J28" s="11" t="inlineStr">
        <is>
          <t>Category A3</t>
        </is>
      </c>
      <c r="K28" s="27" t="inlineStr">
        <is>
          <t>92</t>
        </is>
      </c>
      <c r="L28" s="27" t="inlineStr">
        <is>
          <t>-</t>
        </is>
      </c>
      <c r="M28" s="27" t="inlineStr">
        <is>
          <t>-</t>
        </is>
      </c>
      <c r="N28" s="11" t="inlineStr"/>
    </row>
    <row r="29" ht="20" customHeight="1">
      <c r="A29" s="4" t="n">
        <v>7</v>
      </c>
      <c r="B29" s="5" t="inlineStr">
        <is>
          <t>Taichung City Delivery Driver Traffic Accident Statistics - 2024 Q1 (ROC 113)</t>
        </is>
      </c>
      <c r="C29" s="5" t="inlineStr">
        <is>
          <t>113年第一季臺中市外送員交通事故統計</t>
        </is>
      </c>
      <c r="D29" s="6" t="inlineStr">
        <is>
          <t>cf7cf06b-60bf-47da-9729-0341883ed26c</t>
        </is>
      </c>
      <c r="E29" s="4" t="n">
        <v>1</v>
      </c>
      <c r="F29" s="6" t="inlineStr">
        <is>
          <t>1</t>
        </is>
      </c>
      <c r="G29" s="6" t="inlineStr">
        <is>
          <t>66000</t>
        </is>
      </c>
      <c r="H29" s="6" t="inlineStr">
        <is>
          <t>(04)23274275</t>
        </is>
      </c>
      <c r="I29" s="6" t="inlineStr">
        <is>
          <t>總計</t>
        </is>
      </c>
      <c r="J29" s="6" t="inlineStr">
        <is>
          <t>Total</t>
        </is>
      </c>
      <c r="K29" s="26" t="inlineStr">
        <is>
          <t>569</t>
        </is>
      </c>
      <c r="L29" s="26" t="inlineStr">
        <is>
          <t>0</t>
        </is>
      </c>
      <c r="M29" s="26" t="inlineStr">
        <is>
          <t>594</t>
        </is>
      </c>
      <c r="N29" s="6" t="inlineStr"/>
    </row>
    <row r="30" ht="20" customHeight="1">
      <c r="A30" s="9" t="n">
        <v>7</v>
      </c>
      <c r="B30" s="10" t="inlineStr">
        <is>
          <t>Taichung City Delivery Driver Traffic Accident Statistics - 2024 Q1 (ROC 113)</t>
        </is>
      </c>
      <c r="C30" s="10" t="inlineStr">
        <is>
          <t>113年第一季臺中市外送員交通事故統計</t>
        </is>
      </c>
      <c r="D30" s="11" t="inlineStr">
        <is>
          <t>cf7cf06b-60bf-47da-9729-0341883ed26c</t>
        </is>
      </c>
      <c r="E30" s="9" t="n">
        <v>2</v>
      </c>
      <c r="F30" s="11" t="inlineStr">
        <is>
          <t>2</t>
        </is>
      </c>
      <c r="G30" s="11" t="inlineStr">
        <is>
          <t>66000</t>
        </is>
      </c>
      <c r="H30" s="11" t="inlineStr">
        <is>
          <t>(04)23274275</t>
        </is>
      </c>
      <c r="I30" s="11" t="inlineStr">
        <is>
          <t>A1類</t>
        </is>
      </c>
      <c r="J30" s="11" t="inlineStr">
        <is>
          <t>Category A1</t>
        </is>
      </c>
      <c r="K30" s="27" t="inlineStr">
        <is>
          <t>-</t>
        </is>
      </c>
      <c r="L30" s="27" t="inlineStr">
        <is>
          <t>-</t>
        </is>
      </c>
      <c r="M30" s="27" t="inlineStr">
        <is>
          <t>-</t>
        </is>
      </c>
      <c r="N30" s="11" t="inlineStr"/>
    </row>
    <row r="31" ht="20" customHeight="1">
      <c r="A31" s="4" t="n">
        <v>7</v>
      </c>
      <c r="B31" s="5" t="inlineStr">
        <is>
          <t>Taichung City Delivery Driver Traffic Accident Statistics - 2024 Q1 (ROC 113)</t>
        </is>
      </c>
      <c r="C31" s="5" t="inlineStr">
        <is>
          <t>113年第一季臺中市外送員交通事故統計</t>
        </is>
      </c>
      <c r="D31" s="6" t="inlineStr">
        <is>
          <t>cf7cf06b-60bf-47da-9729-0341883ed26c</t>
        </is>
      </c>
      <c r="E31" s="4" t="n">
        <v>3</v>
      </c>
      <c r="F31" s="6" t="inlineStr">
        <is>
          <t>3</t>
        </is>
      </c>
      <c r="G31" s="6" t="inlineStr">
        <is>
          <t>66000</t>
        </is>
      </c>
      <c r="H31" s="6" t="inlineStr">
        <is>
          <t>(04)23274275</t>
        </is>
      </c>
      <c r="I31" s="6" t="inlineStr">
        <is>
          <t>A2類</t>
        </is>
      </c>
      <c r="J31" s="6" t="inlineStr">
        <is>
          <t>Category A2</t>
        </is>
      </c>
      <c r="K31" s="26" t="inlineStr">
        <is>
          <t>429</t>
        </is>
      </c>
      <c r="L31" s="26" t="inlineStr">
        <is>
          <t>-</t>
        </is>
      </c>
      <c r="M31" s="26" t="inlineStr">
        <is>
          <t>594</t>
        </is>
      </c>
      <c r="N31" s="6" t="inlineStr"/>
    </row>
    <row r="32" ht="20" customHeight="1">
      <c r="A32" s="9" t="n">
        <v>7</v>
      </c>
      <c r="B32" s="10" t="inlineStr">
        <is>
          <t>Taichung City Delivery Driver Traffic Accident Statistics - 2024 Q1 (ROC 113)</t>
        </is>
      </c>
      <c r="C32" s="10" t="inlineStr">
        <is>
          <t>113年第一季臺中市外送員交通事故統計</t>
        </is>
      </c>
      <c r="D32" s="11" t="inlineStr">
        <is>
          <t>cf7cf06b-60bf-47da-9729-0341883ed26c</t>
        </is>
      </c>
      <c r="E32" s="9" t="n">
        <v>4</v>
      </c>
      <c r="F32" s="11" t="inlineStr">
        <is>
          <t>4</t>
        </is>
      </c>
      <c r="G32" s="11" t="inlineStr">
        <is>
          <t>66000</t>
        </is>
      </c>
      <c r="H32" s="11" t="inlineStr">
        <is>
          <t>(04)23274275</t>
        </is>
      </c>
      <c r="I32" s="11" t="inlineStr">
        <is>
          <t>A3類</t>
        </is>
      </c>
      <c r="J32" s="11" t="inlineStr">
        <is>
          <t>Category A3</t>
        </is>
      </c>
      <c r="K32" s="27" t="inlineStr">
        <is>
          <t>140</t>
        </is>
      </c>
      <c r="L32" s="27" t="inlineStr">
        <is>
          <t>-</t>
        </is>
      </c>
      <c r="M32" s="27" t="inlineStr">
        <is>
          <t>-</t>
        </is>
      </c>
      <c r="N32" s="11" t="inlineStr"/>
    </row>
    <row r="33" ht="20" customHeight="1">
      <c r="A33" s="4" t="n">
        <v>8</v>
      </c>
      <c r="B33" s="5" t="inlineStr">
        <is>
          <t>Taichung City Delivery Driver Traffic Accident Statistics - 2025 Q1 (ROC 114)</t>
        </is>
      </c>
      <c r="C33" s="5" t="inlineStr">
        <is>
          <t>114年第一季臺中市外送員交通事故統計</t>
        </is>
      </c>
      <c r="D33" s="6" t="inlineStr">
        <is>
          <t>b709b391-99da-48d1-b1cf-6d4f5de70cb9</t>
        </is>
      </c>
      <c r="E33" s="4" t="n">
        <v>1</v>
      </c>
      <c r="F33" s="6" t="inlineStr">
        <is>
          <t>1</t>
        </is>
      </c>
      <c r="G33" s="6" t="inlineStr">
        <is>
          <t>66000</t>
        </is>
      </c>
      <c r="H33" s="6" t="inlineStr">
        <is>
          <t>(04)23274275</t>
        </is>
      </c>
      <c r="I33" s="6" t="inlineStr">
        <is>
          <t>總計</t>
        </is>
      </c>
      <c r="J33" s="6" t="inlineStr">
        <is>
          <t>Total</t>
        </is>
      </c>
      <c r="K33" s="26" t="inlineStr">
        <is>
          <t>431</t>
        </is>
      </c>
      <c r="L33" s="26" t="inlineStr">
        <is>
          <t>2</t>
        </is>
      </c>
      <c r="M33" s="26" t="inlineStr">
        <is>
          <t>444</t>
        </is>
      </c>
      <c r="N33" s="6" t="inlineStr"/>
    </row>
    <row r="34" ht="20" customHeight="1">
      <c r="A34" s="9" t="n">
        <v>8</v>
      </c>
      <c r="B34" s="10" t="inlineStr">
        <is>
          <t>Taichung City Delivery Driver Traffic Accident Statistics - 2025 Q1 (ROC 114)</t>
        </is>
      </c>
      <c r="C34" s="10" t="inlineStr">
        <is>
          <t>114年第一季臺中市外送員交通事故統計</t>
        </is>
      </c>
      <c r="D34" s="11" t="inlineStr">
        <is>
          <t>b709b391-99da-48d1-b1cf-6d4f5de70cb9</t>
        </is>
      </c>
      <c r="E34" s="9" t="n">
        <v>2</v>
      </c>
      <c r="F34" s="11" t="inlineStr">
        <is>
          <t>2</t>
        </is>
      </c>
      <c r="G34" s="11" t="inlineStr">
        <is>
          <t>66000</t>
        </is>
      </c>
      <c r="H34" s="11" t="inlineStr">
        <is>
          <t>(04)23274275</t>
        </is>
      </c>
      <c r="I34" s="11" t="inlineStr">
        <is>
          <t>A1類</t>
        </is>
      </c>
      <c r="J34" s="11" t="inlineStr">
        <is>
          <t>Category A1</t>
        </is>
      </c>
      <c r="K34" s="27" t="inlineStr">
        <is>
          <t>2</t>
        </is>
      </c>
      <c r="L34" s="27" t="inlineStr">
        <is>
          <t>2</t>
        </is>
      </c>
      <c r="M34" s="27" t="inlineStr">
        <is>
          <t>-</t>
        </is>
      </c>
      <c r="N34" s="11" t="inlineStr"/>
    </row>
    <row r="35" ht="20" customHeight="1">
      <c r="A35" s="4" t="n">
        <v>8</v>
      </c>
      <c r="B35" s="5" t="inlineStr">
        <is>
          <t>Taichung City Delivery Driver Traffic Accident Statistics - 2025 Q1 (ROC 114)</t>
        </is>
      </c>
      <c r="C35" s="5" t="inlineStr">
        <is>
          <t>114年第一季臺中市外送員交通事故統計</t>
        </is>
      </c>
      <c r="D35" s="6" t="inlineStr">
        <is>
          <t>b709b391-99da-48d1-b1cf-6d4f5de70cb9</t>
        </is>
      </c>
      <c r="E35" s="4" t="n">
        <v>3</v>
      </c>
      <c r="F35" s="6" t="inlineStr">
        <is>
          <t>3</t>
        </is>
      </c>
      <c r="G35" s="6" t="inlineStr">
        <is>
          <t>66000</t>
        </is>
      </c>
      <c r="H35" s="6" t="inlineStr">
        <is>
          <t>(04)23274275</t>
        </is>
      </c>
      <c r="I35" s="6" t="inlineStr">
        <is>
          <t>A2類</t>
        </is>
      </c>
      <c r="J35" s="6" t="inlineStr">
        <is>
          <t>Category A2</t>
        </is>
      </c>
      <c r="K35" s="26" t="inlineStr">
        <is>
          <t>315</t>
        </is>
      </c>
      <c r="L35" s="26" t="inlineStr">
        <is>
          <t>-</t>
        </is>
      </c>
      <c r="M35" s="26" t="inlineStr">
        <is>
          <t>444</t>
        </is>
      </c>
      <c r="N35" s="6" t="inlineStr"/>
    </row>
    <row r="36" ht="20" customHeight="1">
      <c r="A36" s="9" t="n">
        <v>8</v>
      </c>
      <c r="B36" s="10" t="inlineStr">
        <is>
          <t>Taichung City Delivery Driver Traffic Accident Statistics - 2025 Q1 (ROC 114)</t>
        </is>
      </c>
      <c r="C36" s="10" t="inlineStr">
        <is>
          <t>114年第一季臺中市外送員交通事故統計</t>
        </is>
      </c>
      <c r="D36" s="11" t="inlineStr">
        <is>
          <t>b709b391-99da-48d1-b1cf-6d4f5de70cb9</t>
        </is>
      </c>
      <c r="E36" s="9" t="n">
        <v>4</v>
      </c>
      <c r="F36" s="11" t="inlineStr">
        <is>
          <t>4</t>
        </is>
      </c>
      <c r="G36" s="11" t="inlineStr">
        <is>
          <t>66000</t>
        </is>
      </c>
      <c r="H36" s="11" t="inlineStr">
        <is>
          <t>(04)23274275</t>
        </is>
      </c>
      <c r="I36" s="11" t="inlineStr">
        <is>
          <t>A3類</t>
        </is>
      </c>
      <c r="J36" s="11" t="inlineStr">
        <is>
          <t>Category A3</t>
        </is>
      </c>
      <c r="K36" s="27" t="inlineStr">
        <is>
          <t>114</t>
        </is>
      </c>
      <c r="L36" s="27" t="inlineStr">
        <is>
          <t>-</t>
        </is>
      </c>
      <c r="M36" s="27" t="inlineStr">
        <is>
          <t>-</t>
        </is>
      </c>
      <c r="N36" s="11" t="inlineStr"/>
    </row>
    <row r="37" ht="20" customHeight="1">
      <c r="A37" s="4" t="n">
        <v>9</v>
      </c>
      <c r="B37" s="5" t="inlineStr">
        <is>
          <t>Taichung City Delivery Driver Traffic Accident Statistics - 2022 Q3 (ROC 111)</t>
        </is>
      </c>
      <c r="C37" s="5" t="inlineStr">
        <is>
          <t>111年第三季臺中市外送員交通事故統計</t>
        </is>
      </c>
      <c r="D37" s="6" t="inlineStr">
        <is>
          <t>977d1f0c-3552-4a69-a68f-6b12bb6c7c79</t>
        </is>
      </c>
      <c r="E37" s="4" t="n">
        <v>1</v>
      </c>
      <c r="F37" s="6" t="inlineStr">
        <is>
          <t>1</t>
        </is>
      </c>
      <c r="G37" s="6" t="inlineStr"/>
      <c r="H37" s="6" t="inlineStr"/>
      <c r="I37" s="6" t="inlineStr">
        <is>
          <t>總計 (111年07月01日 至 111年09月30日)</t>
        </is>
      </c>
      <c r="J37" s="6" t="inlineStr">
        <is>
          <t>Total</t>
        </is>
      </c>
      <c r="K37" s="26" t="inlineStr">
        <is>
          <t>299</t>
        </is>
      </c>
      <c r="L37" s="26" t="inlineStr">
        <is>
          <t>1</t>
        </is>
      </c>
      <c r="M37" s="26" t="inlineStr">
        <is>
          <t>349</t>
        </is>
      </c>
      <c r="N37" s="6" t="inlineStr"/>
    </row>
    <row r="38" ht="20" customHeight="1">
      <c r="A38" s="9" t="n">
        <v>9</v>
      </c>
      <c r="B38" s="10" t="inlineStr">
        <is>
          <t>Taichung City Delivery Driver Traffic Accident Statistics - 2022 Q3 (ROC 111)</t>
        </is>
      </c>
      <c r="C38" s="10" t="inlineStr">
        <is>
          <t>111年第三季臺中市外送員交通事故統計</t>
        </is>
      </c>
      <c r="D38" s="11" t="inlineStr">
        <is>
          <t>977d1f0c-3552-4a69-a68f-6b12bb6c7c79</t>
        </is>
      </c>
      <c r="E38" s="9" t="n">
        <v>2</v>
      </c>
      <c r="F38" s="11" t="inlineStr">
        <is>
          <t>2</t>
        </is>
      </c>
      <c r="G38" s="11" t="inlineStr"/>
      <c r="H38" s="11" t="inlineStr"/>
      <c r="I38" s="11" t="inlineStr">
        <is>
          <t>A1類 (111年07月01日 至 111年09月30日)</t>
        </is>
      </c>
      <c r="J38" s="11" t="inlineStr">
        <is>
          <t>Category A1</t>
        </is>
      </c>
      <c r="K38" s="27" t="inlineStr">
        <is>
          <t>1</t>
        </is>
      </c>
      <c r="L38" s="27" t="inlineStr">
        <is>
          <t>1</t>
        </is>
      </c>
      <c r="M38" s="27" t="inlineStr">
        <is>
          <t>-</t>
        </is>
      </c>
      <c r="N38" s="11" t="inlineStr"/>
    </row>
    <row r="39" ht="20" customHeight="1">
      <c r="A39" s="4" t="n">
        <v>9</v>
      </c>
      <c r="B39" s="5" t="inlineStr">
        <is>
          <t>Taichung City Delivery Driver Traffic Accident Statistics - 2022 Q3 (ROC 111)</t>
        </is>
      </c>
      <c r="C39" s="5" t="inlineStr">
        <is>
          <t>111年第三季臺中市外送員交通事故統計</t>
        </is>
      </c>
      <c r="D39" s="6" t="inlineStr">
        <is>
          <t>977d1f0c-3552-4a69-a68f-6b12bb6c7c79</t>
        </is>
      </c>
      <c r="E39" s="4" t="n">
        <v>3</v>
      </c>
      <c r="F39" s="6" t="inlineStr">
        <is>
          <t>3</t>
        </is>
      </c>
      <c r="G39" s="6" t="inlineStr"/>
      <c r="H39" s="6" t="inlineStr"/>
      <c r="I39" s="6" t="inlineStr">
        <is>
          <t>A2類 (111年07月01日 至 111年09月30日)</t>
        </is>
      </c>
      <c r="J39" s="6" t="inlineStr">
        <is>
          <t>Category A2</t>
        </is>
      </c>
      <c r="K39" s="26" t="inlineStr">
        <is>
          <t>250</t>
        </is>
      </c>
      <c r="L39" s="26" t="inlineStr">
        <is>
          <t>-</t>
        </is>
      </c>
      <c r="M39" s="26" t="inlineStr">
        <is>
          <t>349</t>
        </is>
      </c>
      <c r="N39" s="6" t="inlineStr"/>
    </row>
    <row r="40" ht="20" customHeight="1">
      <c r="A40" s="9" t="n">
        <v>9</v>
      </c>
      <c r="B40" s="10" t="inlineStr">
        <is>
          <t>Taichung City Delivery Driver Traffic Accident Statistics - 2022 Q3 (ROC 111)</t>
        </is>
      </c>
      <c r="C40" s="10" t="inlineStr">
        <is>
          <t>111年第三季臺中市外送員交通事故統計</t>
        </is>
      </c>
      <c r="D40" s="11" t="inlineStr">
        <is>
          <t>977d1f0c-3552-4a69-a68f-6b12bb6c7c79</t>
        </is>
      </c>
      <c r="E40" s="9" t="n">
        <v>4</v>
      </c>
      <c r="F40" s="11" t="inlineStr">
        <is>
          <t>4</t>
        </is>
      </c>
      <c r="G40" s="11" t="inlineStr"/>
      <c r="H40" s="11" t="inlineStr"/>
      <c r="I40" s="11" t="inlineStr">
        <is>
          <t>A3類 (111年07月01日 至 111年09月30日)</t>
        </is>
      </c>
      <c r="J40" s="11" t="inlineStr">
        <is>
          <t>Category A3</t>
        </is>
      </c>
      <c r="K40" s="27" t="inlineStr">
        <is>
          <t>48</t>
        </is>
      </c>
      <c r="L40" s="27" t="inlineStr">
        <is>
          <t>-</t>
        </is>
      </c>
      <c r="M40" s="27" t="inlineStr">
        <is>
          <t>-</t>
        </is>
      </c>
      <c r="N40" s="11" t="inlineStr"/>
    </row>
    <row r="41" ht="20" customHeight="1">
      <c r="A41" s="4" t="n">
        <v>10</v>
      </c>
      <c r="B41" s="5" t="inlineStr">
        <is>
          <t>Taichung City Delivery Driver Traffic Accident Statistics - 2023 Q2 (ROC 112)</t>
        </is>
      </c>
      <c r="C41" s="5" t="inlineStr">
        <is>
          <t>112年第二季臺中市外送員交通事故統計</t>
        </is>
      </c>
      <c r="D41" s="6" t="inlineStr">
        <is>
          <t>c3d7c48c-4c27-45e0-b82e-9d91fd657b7a</t>
        </is>
      </c>
      <c r="E41" s="4" t="n">
        <v>1</v>
      </c>
      <c r="F41" s="6" t="inlineStr">
        <is>
          <t>1</t>
        </is>
      </c>
      <c r="G41" s="6" t="inlineStr"/>
      <c r="H41" s="6" t="inlineStr"/>
      <c r="I41" s="6" t="inlineStr">
        <is>
          <t>總計 (112年04月01日 至 112年06月30日)</t>
        </is>
      </c>
      <c r="J41" s="6" t="inlineStr">
        <is>
          <t>Total</t>
        </is>
      </c>
      <c r="K41" s="26" t="inlineStr">
        <is>
          <t>365</t>
        </is>
      </c>
      <c r="L41" s="26" t="inlineStr">
        <is>
          <t>1</t>
        </is>
      </c>
      <c r="M41" s="26" t="inlineStr">
        <is>
          <t>392</t>
        </is>
      </c>
      <c r="N41" s="6" t="inlineStr"/>
    </row>
    <row r="42" ht="20" customHeight="1">
      <c r="A42" s="9" t="n">
        <v>10</v>
      </c>
      <c r="B42" s="10" t="inlineStr">
        <is>
          <t>Taichung City Delivery Driver Traffic Accident Statistics - 2023 Q2 (ROC 112)</t>
        </is>
      </c>
      <c r="C42" s="10" t="inlineStr">
        <is>
          <t>112年第二季臺中市外送員交通事故統計</t>
        </is>
      </c>
      <c r="D42" s="11" t="inlineStr">
        <is>
          <t>c3d7c48c-4c27-45e0-b82e-9d91fd657b7a</t>
        </is>
      </c>
      <c r="E42" s="9" t="n">
        <v>2</v>
      </c>
      <c r="F42" s="11" t="inlineStr">
        <is>
          <t>2</t>
        </is>
      </c>
      <c r="G42" s="11" t="inlineStr"/>
      <c r="H42" s="11" t="inlineStr"/>
      <c r="I42" s="11" t="inlineStr">
        <is>
          <t>A1類 (112年04月01日 至 112年06月30日)</t>
        </is>
      </c>
      <c r="J42" s="11" t="inlineStr">
        <is>
          <t>Category A1</t>
        </is>
      </c>
      <c r="K42" s="27" t="inlineStr">
        <is>
          <t>1</t>
        </is>
      </c>
      <c r="L42" s="27" t="inlineStr">
        <is>
          <t>1</t>
        </is>
      </c>
      <c r="M42" s="27" t="inlineStr">
        <is>
          <t>-</t>
        </is>
      </c>
      <c r="N42" s="11" t="inlineStr"/>
    </row>
    <row r="43" ht="20" customHeight="1">
      <c r="A43" s="4" t="n">
        <v>10</v>
      </c>
      <c r="B43" s="5" t="inlineStr">
        <is>
          <t>Taichung City Delivery Driver Traffic Accident Statistics - 2023 Q2 (ROC 112)</t>
        </is>
      </c>
      <c r="C43" s="5" t="inlineStr">
        <is>
          <t>112年第二季臺中市外送員交通事故統計</t>
        </is>
      </c>
      <c r="D43" s="6" t="inlineStr">
        <is>
          <t>c3d7c48c-4c27-45e0-b82e-9d91fd657b7a</t>
        </is>
      </c>
      <c r="E43" s="4" t="n">
        <v>3</v>
      </c>
      <c r="F43" s="6" t="inlineStr">
        <is>
          <t>3</t>
        </is>
      </c>
      <c r="G43" s="6" t="inlineStr"/>
      <c r="H43" s="6" t="inlineStr"/>
      <c r="I43" s="6" t="inlineStr">
        <is>
          <t>A2類 (112年04月01日 至 112年06月30日)</t>
        </is>
      </c>
      <c r="J43" s="6" t="inlineStr">
        <is>
          <t>Category A2</t>
        </is>
      </c>
      <c r="K43" s="26" t="inlineStr">
        <is>
          <t>285</t>
        </is>
      </c>
      <c r="L43" s="26" t="inlineStr">
        <is>
          <t>-</t>
        </is>
      </c>
      <c r="M43" s="26" t="inlineStr">
        <is>
          <t>392</t>
        </is>
      </c>
      <c r="N43" s="6" t="inlineStr"/>
    </row>
    <row r="44" ht="20" customHeight="1">
      <c r="A44" s="9" t="n">
        <v>10</v>
      </c>
      <c r="B44" s="10" t="inlineStr">
        <is>
          <t>Taichung City Delivery Driver Traffic Accident Statistics - 2023 Q2 (ROC 112)</t>
        </is>
      </c>
      <c r="C44" s="10" t="inlineStr">
        <is>
          <t>112年第二季臺中市外送員交通事故統計</t>
        </is>
      </c>
      <c r="D44" s="11" t="inlineStr">
        <is>
          <t>c3d7c48c-4c27-45e0-b82e-9d91fd657b7a</t>
        </is>
      </c>
      <c r="E44" s="9" t="n">
        <v>4</v>
      </c>
      <c r="F44" s="11" t="inlineStr">
        <is>
          <t>4</t>
        </is>
      </c>
      <c r="G44" s="11" t="inlineStr"/>
      <c r="H44" s="11" t="inlineStr"/>
      <c r="I44" s="11" t="inlineStr">
        <is>
          <t>A3類 (112年04月01日 至 112年06月30日)</t>
        </is>
      </c>
      <c r="J44" s="11" t="inlineStr">
        <is>
          <t>Category A3</t>
        </is>
      </c>
      <c r="K44" s="27" t="inlineStr">
        <is>
          <t>79</t>
        </is>
      </c>
      <c r="L44" s="27" t="inlineStr">
        <is>
          <t>-</t>
        </is>
      </c>
      <c r="M44" s="27" t="inlineStr">
        <is>
          <t>-</t>
        </is>
      </c>
      <c r="N44" s="11" t="inlineStr"/>
    </row>
    <row r="45" ht="20" customHeight="1">
      <c r="A45" s="4" t="n">
        <v>11</v>
      </c>
      <c r="B45" s="5" t="inlineStr">
        <is>
          <t>Taichung City Delivery Driver Traffic Accident Statistics - 2026 Q1 (ROC 115)</t>
        </is>
      </c>
      <c r="C45" s="5" t="inlineStr">
        <is>
          <t>115年第一季臺中市外送員交通事故統計</t>
        </is>
      </c>
      <c r="D45" s="6" t="inlineStr">
        <is>
          <t>b41e113f-e480-4d9d-9ccd-18ce5f9e3c71</t>
        </is>
      </c>
      <c r="E45" s="4" t="n">
        <v>1</v>
      </c>
      <c r="F45" s="6" t="inlineStr">
        <is>
          <t>1</t>
        </is>
      </c>
      <c r="G45" s="6" t="inlineStr">
        <is>
          <t>66000</t>
        </is>
      </c>
      <c r="H45" s="6" t="inlineStr">
        <is>
          <t>(04)23274275</t>
        </is>
      </c>
      <c r="I45" s="6" t="inlineStr">
        <is>
          <t>總計</t>
        </is>
      </c>
      <c r="J45" s="6" t="inlineStr">
        <is>
          <t>Total</t>
        </is>
      </c>
      <c r="K45" s="26" t="inlineStr">
        <is>
          <t>408</t>
        </is>
      </c>
      <c r="L45" s="26" t="inlineStr">
        <is>
          <t>-</t>
        </is>
      </c>
      <c r="M45" s="26" t="inlineStr">
        <is>
          <t>396</t>
        </is>
      </c>
      <c r="N45" s="6" t="inlineStr"/>
    </row>
    <row r="46" ht="20" customHeight="1">
      <c r="A46" s="9" t="n">
        <v>11</v>
      </c>
      <c r="B46" s="10" t="inlineStr">
        <is>
          <t>Taichung City Delivery Driver Traffic Accident Statistics - 2026 Q1 (ROC 115)</t>
        </is>
      </c>
      <c r="C46" s="10" t="inlineStr">
        <is>
          <t>115年第一季臺中市外送員交通事故統計</t>
        </is>
      </c>
      <c r="D46" s="11" t="inlineStr">
        <is>
          <t>b41e113f-e480-4d9d-9ccd-18ce5f9e3c71</t>
        </is>
      </c>
      <c r="E46" s="9" t="n">
        <v>2</v>
      </c>
      <c r="F46" s="11" t="inlineStr">
        <is>
          <t>2</t>
        </is>
      </c>
      <c r="G46" s="11" t="inlineStr">
        <is>
          <t>66000</t>
        </is>
      </c>
      <c r="H46" s="11" t="inlineStr">
        <is>
          <t>(04)23274275</t>
        </is>
      </c>
      <c r="I46" s="11" t="inlineStr">
        <is>
          <t>A1類</t>
        </is>
      </c>
      <c r="J46" s="11" t="inlineStr">
        <is>
          <t>Category A1</t>
        </is>
      </c>
      <c r="K46" s="27" t="inlineStr">
        <is>
          <t>-</t>
        </is>
      </c>
      <c r="L46" s="27" t="inlineStr">
        <is>
          <t>-</t>
        </is>
      </c>
      <c r="M46" s="27" t="inlineStr">
        <is>
          <t>-</t>
        </is>
      </c>
      <c r="N46" s="11" t="inlineStr"/>
    </row>
    <row r="47" ht="20" customHeight="1">
      <c r="A47" s="4" t="n">
        <v>11</v>
      </c>
      <c r="B47" s="5" t="inlineStr">
        <is>
          <t>Taichung City Delivery Driver Traffic Accident Statistics - 2026 Q1 (ROC 115)</t>
        </is>
      </c>
      <c r="C47" s="5" t="inlineStr">
        <is>
          <t>115年第一季臺中市外送員交通事故統計</t>
        </is>
      </c>
      <c r="D47" s="6" t="inlineStr">
        <is>
          <t>b41e113f-e480-4d9d-9ccd-18ce5f9e3c71</t>
        </is>
      </c>
      <c r="E47" s="4" t="n">
        <v>3</v>
      </c>
      <c r="F47" s="6" t="inlineStr">
        <is>
          <t>3</t>
        </is>
      </c>
      <c r="G47" s="6" t="inlineStr">
        <is>
          <t>66000</t>
        </is>
      </c>
      <c r="H47" s="6" t="inlineStr">
        <is>
          <t>(04)23274275</t>
        </is>
      </c>
      <c r="I47" s="6" t="inlineStr">
        <is>
          <t>A2類</t>
        </is>
      </c>
      <c r="J47" s="6" t="inlineStr">
        <is>
          <t>Category A2</t>
        </is>
      </c>
      <c r="K47" s="26" t="inlineStr">
        <is>
          <t>292</t>
        </is>
      </c>
      <c r="L47" s="26" t="inlineStr">
        <is>
          <t>-</t>
        </is>
      </c>
      <c r="M47" s="26" t="inlineStr">
        <is>
          <t>396</t>
        </is>
      </c>
      <c r="N47" s="6" t="inlineStr"/>
    </row>
    <row r="48" ht="20" customHeight="1">
      <c r="A48" s="9" t="n">
        <v>11</v>
      </c>
      <c r="B48" s="10" t="inlineStr">
        <is>
          <t>Taichung City Delivery Driver Traffic Accident Statistics - 2026 Q1 (ROC 115)</t>
        </is>
      </c>
      <c r="C48" s="10" t="inlineStr">
        <is>
          <t>115年第一季臺中市外送員交通事故統計</t>
        </is>
      </c>
      <c r="D48" s="11" t="inlineStr">
        <is>
          <t>b41e113f-e480-4d9d-9ccd-18ce5f9e3c71</t>
        </is>
      </c>
      <c r="E48" s="9" t="n">
        <v>4</v>
      </c>
      <c r="F48" s="11" t="inlineStr">
        <is>
          <t>4</t>
        </is>
      </c>
      <c r="G48" s="11" t="inlineStr">
        <is>
          <t>66000</t>
        </is>
      </c>
      <c r="H48" s="11" t="inlineStr">
        <is>
          <t>(04)23274275</t>
        </is>
      </c>
      <c r="I48" s="11" t="inlineStr">
        <is>
          <t>A3類</t>
        </is>
      </c>
      <c r="J48" s="11" t="inlineStr">
        <is>
          <t>Category A3</t>
        </is>
      </c>
      <c r="K48" s="27" t="inlineStr">
        <is>
          <t>116</t>
        </is>
      </c>
      <c r="L48" s="27" t="inlineStr">
        <is>
          <t>-</t>
        </is>
      </c>
      <c r="M48" s="27" t="inlineStr">
        <is>
          <t>-</t>
        </is>
      </c>
      <c r="N48" s="11" t="inlineStr"/>
    </row>
    <row r="49" ht="20" customHeight="1">
      <c r="A49" s="4" t="n">
        <v>12</v>
      </c>
      <c r="B49" s="5" t="inlineStr">
        <is>
          <t>Taichung City Delivery Driver Traffic Accident Statistics - 2023 Q3 (ROC 112)</t>
        </is>
      </c>
      <c r="C49" s="5" t="inlineStr">
        <is>
          <t>112年第三季臺中市外送員交通事故統計</t>
        </is>
      </c>
      <c r="D49" s="6" t="inlineStr">
        <is>
          <t>a7b714cd-6b6b-4726-9949-f56a7a503d19</t>
        </is>
      </c>
      <c r="E49" s="4" t="n">
        <v>1</v>
      </c>
      <c r="F49" s="6" t="inlineStr">
        <is>
          <t>1</t>
        </is>
      </c>
      <c r="G49" s="6" t="inlineStr">
        <is>
          <t>66000</t>
        </is>
      </c>
      <c r="H49" s="6" t="inlineStr">
        <is>
          <t>(04)23274275</t>
        </is>
      </c>
      <c r="I49" s="6" t="inlineStr">
        <is>
          <t>總計</t>
        </is>
      </c>
      <c r="J49" s="6" t="inlineStr">
        <is>
          <t>Total</t>
        </is>
      </c>
      <c r="K49" s="26" t="inlineStr">
        <is>
          <t>670</t>
        </is>
      </c>
      <c r="L49" s="26" t="inlineStr">
        <is>
          <t>1</t>
        </is>
      </c>
      <c r="M49" s="26" t="inlineStr">
        <is>
          <t>688</t>
        </is>
      </c>
      <c r="N49" s="6" t="inlineStr"/>
    </row>
    <row r="50" ht="20" customHeight="1">
      <c r="A50" s="9" t="n">
        <v>12</v>
      </c>
      <c r="B50" s="10" t="inlineStr">
        <is>
          <t>Taichung City Delivery Driver Traffic Accident Statistics - 2023 Q3 (ROC 112)</t>
        </is>
      </c>
      <c r="C50" s="10" t="inlineStr">
        <is>
          <t>112年第三季臺中市外送員交通事故統計</t>
        </is>
      </c>
      <c r="D50" s="11" t="inlineStr">
        <is>
          <t>a7b714cd-6b6b-4726-9949-f56a7a503d19</t>
        </is>
      </c>
      <c r="E50" s="9" t="n">
        <v>2</v>
      </c>
      <c r="F50" s="11" t="inlineStr">
        <is>
          <t>2</t>
        </is>
      </c>
      <c r="G50" s="11" t="inlineStr">
        <is>
          <t>66000</t>
        </is>
      </c>
      <c r="H50" s="11" t="inlineStr">
        <is>
          <t>(04)23274275</t>
        </is>
      </c>
      <c r="I50" s="11" t="inlineStr">
        <is>
          <t>A1類</t>
        </is>
      </c>
      <c r="J50" s="11" t="inlineStr">
        <is>
          <t>Category A1</t>
        </is>
      </c>
      <c r="K50" s="27" t="inlineStr">
        <is>
          <t>1</t>
        </is>
      </c>
      <c r="L50" s="27" t="inlineStr">
        <is>
          <t>1</t>
        </is>
      </c>
      <c r="M50" s="27" t="inlineStr">
        <is>
          <t>-</t>
        </is>
      </c>
      <c r="N50" s="11" t="inlineStr"/>
    </row>
    <row r="51" ht="20" customHeight="1">
      <c r="A51" s="4" t="n">
        <v>12</v>
      </c>
      <c r="B51" s="5" t="inlineStr">
        <is>
          <t>Taichung City Delivery Driver Traffic Accident Statistics - 2023 Q3 (ROC 112)</t>
        </is>
      </c>
      <c r="C51" s="5" t="inlineStr">
        <is>
          <t>112年第三季臺中市外送員交通事故統計</t>
        </is>
      </c>
      <c r="D51" s="6" t="inlineStr">
        <is>
          <t>a7b714cd-6b6b-4726-9949-f56a7a503d19</t>
        </is>
      </c>
      <c r="E51" s="4" t="n">
        <v>3</v>
      </c>
      <c r="F51" s="6" t="inlineStr">
        <is>
          <t>3</t>
        </is>
      </c>
      <c r="G51" s="6" t="inlineStr">
        <is>
          <t>66000</t>
        </is>
      </c>
      <c r="H51" s="6" t="inlineStr">
        <is>
          <t>(04)23274275</t>
        </is>
      </c>
      <c r="I51" s="6" t="inlineStr">
        <is>
          <t>A2類</t>
        </is>
      </c>
      <c r="J51" s="6" t="inlineStr">
        <is>
          <t>Category A2</t>
        </is>
      </c>
      <c r="K51" s="26" t="inlineStr">
        <is>
          <t>501</t>
        </is>
      </c>
      <c r="L51" s="26" t="inlineStr">
        <is>
          <t>-</t>
        </is>
      </c>
      <c r="M51" s="26" t="inlineStr">
        <is>
          <t>688</t>
        </is>
      </c>
      <c r="N51" s="6" t="inlineStr"/>
    </row>
    <row r="52" ht="20" customHeight="1">
      <c r="A52" s="9" t="n">
        <v>12</v>
      </c>
      <c r="B52" s="10" t="inlineStr">
        <is>
          <t>Taichung City Delivery Driver Traffic Accident Statistics - 2023 Q3 (ROC 112)</t>
        </is>
      </c>
      <c r="C52" s="10" t="inlineStr">
        <is>
          <t>112年第三季臺中市外送員交通事故統計</t>
        </is>
      </c>
      <c r="D52" s="11" t="inlineStr">
        <is>
          <t>a7b714cd-6b6b-4726-9949-f56a7a503d19</t>
        </is>
      </c>
      <c r="E52" s="9" t="n">
        <v>4</v>
      </c>
      <c r="F52" s="11" t="inlineStr">
        <is>
          <t>4</t>
        </is>
      </c>
      <c r="G52" s="11" t="inlineStr">
        <is>
          <t>66000</t>
        </is>
      </c>
      <c r="H52" s="11" t="inlineStr">
        <is>
          <t>(04)23274275</t>
        </is>
      </c>
      <c r="I52" s="11" t="inlineStr">
        <is>
          <t>A3類</t>
        </is>
      </c>
      <c r="J52" s="11" t="inlineStr">
        <is>
          <t>Category A3</t>
        </is>
      </c>
      <c r="K52" s="27" t="inlineStr">
        <is>
          <t>168</t>
        </is>
      </c>
      <c r="L52" s="27" t="inlineStr">
        <is>
          <t>-</t>
        </is>
      </c>
      <c r="M52" s="27" t="inlineStr">
        <is>
          <t>-</t>
        </is>
      </c>
      <c r="N52" s="11" t="inlineStr"/>
    </row>
    <row r="53" ht="20" customHeight="1">
      <c r="A53" s="4" t="n">
        <v>13</v>
      </c>
      <c r="B53" s="5" t="inlineStr">
        <is>
          <t>Taichung City Delivery Driver Traffic Accident Statistics - 2023 Q4 (ROC 112)</t>
        </is>
      </c>
      <c r="C53" s="5" t="inlineStr">
        <is>
          <t>112年第四季臺中市外送員交通事故統計</t>
        </is>
      </c>
      <c r="D53" s="6" t="inlineStr">
        <is>
          <t>14222666-180a-4bf0-bf7e-f8bdf4def18c</t>
        </is>
      </c>
      <c r="E53" s="4" t="n">
        <v>1</v>
      </c>
      <c r="F53" s="6" t="inlineStr">
        <is>
          <t>1</t>
        </is>
      </c>
      <c r="G53" s="6" t="inlineStr">
        <is>
          <t>66000</t>
        </is>
      </c>
      <c r="H53" s="6" t="inlineStr">
        <is>
          <t>(04)23274275</t>
        </is>
      </c>
      <c r="I53" s="6" t="inlineStr">
        <is>
          <t>總計</t>
        </is>
      </c>
      <c r="J53" s="6" t="inlineStr">
        <is>
          <t>Total</t>
        </is>
      </c>
      <c r="K53" s="26" t="inlineStr">
        <is>
          <t>537</t>
        </is>
      </c>
      <c r="L53" s="26" t="inlineStr">
        <is>
          <t>-</t>
        </is>
      </c>
      <c r="M53" s="26" t="inlineStr">
        <is>
          <t>596</t>
        </is>
      </c>
      <c r="N53" s="6" t="inlineStr"/>
    </row>
    <row r="54" ht="20" customHeight="1">
      <c r="A54" s="9" t="n">
        <v>13</v>
      </c>
      <c r="B54" s="10" t="inlineStr">
        <is>
          <t>Taichung City Delivery Driver Traffic Accident Statistics - 2023 Q4 (ROC 112)</t>
        </is>
      </c>
      <c r="C54" s="10" t="inlineStr">
        <is>
          <t>112年第四季臺中市外送員交通事故統計</t>
        </is>
      </c>
      <c r="D54" s="11" t="inlineStr">
        <is>
          <t>14222666-180a-4bf0-bf7e-f8bdf4def18c</t>
        </is>
      </c>
      <c r="E54" s="9" t="n">
        <v>2</v>
      </c>
      <c r="F54" s="11" t="inlineStr">
        <is>
          <t>2</t>
        </is>
      </c>
      <c r="G54" s="11" t="inlineStr">
        <is>
          <t>66000</t>
        </is>
      </c>
      <c r="H54" s="11" t="inlineStr">
        <is>
          <t>(04)23274275</t>
        </is>
      </c>
      <c r="I54" s="11" t="inlineStr">
        <is>
          <t>A1類</t>
        </is>
      </c>
      <c r="J54" s="11" t="inlineStr">
        <is>
          <t>Category A1</t>
        </is>
      </c>
      <c r="K54" s="27" t="inlineStr">
        <is>
          <t>-</t>
        </is>
      </c>
      <c r="L54" s="27" t="inlineStr">
        <is>
          <t>-</t>
        </is>
      </c>
      <c r="M54" s="27" t="inlineStr">
        <is>
          <t>-</t>
        </is>
      </c>
      <c r="N54" s="11" t="inlineStr"/>
    </row>
    <row r="55" ht="20" customHeight="1">
      <c r="A55" s="4" t="n">
        <v>13</v>
      </c>
      <c r="B55" s="5" t="inlineStr">
        <is>
          <t>Taichung City Delivery Driver Traffic Accident Statistics - 2023 Q4 (ROC 112)</t>
        </is>
      </c>
      <c r="C55" s="5" t="inlineStr">
        <is>
          <t>112年第四季臺中市外送員交通事故統計</t>
        </is>
      </c>
      <c r="D55" s="6" t="inlineStr">
        <is>
          <t>14222666-180a-4bf0-bf7e-f8bdf4def18c</t>
        </is>
      </c>
      <c r="E55" s="4" t="n">
        <v>3</v>
      </c>
      <c r="F55" s="6" t="inlineStr">
        <is>
          <t>3</t>
        </is>
      </c>
      <c r="G55" s="6" t="inlineStr">
        <is>
          <t>66000</t>
        </is>
      </c>
      <c r="H55" s="6" t="inlineStr">
        <is>
          <t>(04)23274275</t>
        </is>
      </c>
      <c r="I55" s="6" t="inlineStr">
        <is>
          <t>A2類</t>
        </is>
      </c>
      <c r="J55" s="6" t="inlineStr">
        <is>
          <t>Category A2</t>
        </is>
      </c>
      <c r="K55" s="26" t="inlineStr">
        <is>
          <t>427</t>
        </is>
      </c>
      <c r="L55" s="26" t="inlineStr">
        <is>
          <t>-</t>
        </is>
      </c>
      <c r="M55" s="26" t="inlineStr">
        <is>
          <t>596</t>
        </is>
      </c>
      <c r="N55" s="6" t="inlineStr"/>
    </row>
    <row r="56" ht="20" customHeight="1">
      <c r="A56" s="9" t="n">
        <v>13</v>
      </c>
      <c r="B56" s="10" t="inlineStr">
        <is>
          <t>Taichung City Delivery Driver Traffic Accident Statistics - 2023 Q4 (ROC 112)</t>
        </is>
      </c>
      <c r="C56" s="10" t="inlineStr">
        <is>
          <t>112年第四季臺中市外送員交通事故統計</t>
        </is>
      </c>
      <c r="D56" s="11" t="inlineStr">
        <is>
          <t>14222666-180a-4bf0-bf7e-f8bdf4def18c</t>
        </is>
      </c>
      <c r="E56" s="9" t="n">
        <v>4</v>
      </c>
      <c r="F56" s="11" t="inlineStr">
        <is>
          <t>4</t>
        </is>
      </c>
      <c r="G56" s="11" t="inlineStr">
        <is>
          <t>66000</t>
        </is>
      </c>
      <c r="H56" s="11" t="inlineStr">
        <is>
          <t>(04)23274275</t>
        </is>
      </c>
      <c r="I56" s="11" t="inlineStr">
        <is>
          <t>A3類</t>
        </is>
      </c>
      <c r="J56" s="11" t="inlineStr">
        <is>
          <t>Category A3</t>
        </is>
      </c>
      <c r="K56" s="27" t="inlineStr">
        <is>
          <t>110</t>
        </is>
      </c>
      <c r="L56" s="27" t="inlineStr">
        <is>
          <t>-</t>
        </is>
      </c>
      <c r="M56" s="27" t="inlineStr">
        <is>
          <t>-</t>
        </is>
      </c>
      <c r="N56" s="11" t="inlineStr"/>
    </row>
    <row r="57" ht="20" customHeight="1">
      <c r="A57" s="4" t="n">
        <v>14</v>
      </c>
      <c r="B57" s="5" t="inlineStr">
        <is>
          <t>Taichung City Delivery Driver Traffic Accident Statistics - 2024 Q2 (ROC 113)</t>
        </is>
      </c>
      <c r="C57" s="5" t="inlineStr">
        <is>
          <t>113年第二季臺中市外送員交通事故統計</t>
        </is>
      </c>
      <c r="D57" s="6" t="inlineStr">
        <is>
          <t>ffd48cfb-e697-4af8-bea5-159832e961ca</t>
        </is>
      </c>
      <c r="E57" s="4" t="n">
        <v>1</v>
      </c>
      <c r="F57" s="6" t="inlineStr">
        <is>
          <t>1</t>
        </is>
      </c>
      <c r="G57" s="6" t="inlineStr">
        <is>
          <t>66000</t>
        </is>
      </c>
      <c r="H57" s="6" t="inlineStr">
        <is>
          <t>(04)23274275</t>
        </is>
      </c>
      <c r="I57" s="6" t="inlineStr">
        <is>
          <t>總計</t>
        </is>
      </c>
      <c r="J57" s="6" t="inlineStr">
        <is>
          <t>Total</t>
        </is>
      </c>
      <c r="K57" s="26" t="inlineStr">
        <is>
          <t>420</t>
        </is>
      </c>
      <c r="L57" s="26" t="inlineStr">
        <is>
          <t>1</t>
        </is>
      </c>
      <c r="M57" s="26" t="inlineStr">
        <is>
          <t>432</t>
        </is>
      </c>
      <c r="N57" s="6" t="inlineStr"/>
    </row>
    <row r="58" ht="20" customHeight="1">
      <c r="A58" s="9" t="n">
        <v>14</v>
      </c>
      <c r="B58" s="10" t="inlineStr">
        <is>
          <t>Taichung City Delivery Driver Traffic Accident Statistics - 2024 Q2 (ROC 113)</t>
        </is>
      </c>
      <c r="C58" s="10" t="inlineStr">
        <is>
          <t>113年第二季臺中市外送員交通事故統計</t>
        </is>
      </c>
      <c r="D58" s="11" t="inlineStr">
        <is>
          <t>ffd48cfb-e697-4af8-bea5-159832e961ca</t>
        </is>
      </c>
      <c r="E58" s="9" t="n">
        <v>2</v>
      </c>
      <c r="F58" s="11" t="inlineStr">
        <is>
          <t>2</t>
        </is>
      </c>
      <c r="G58" s="11" t="inlineStr">
        <is>
          <t>66000</t>
        </is>
      </c>
      <c r="H58" s="11" t="inlineStr">
        <is>
          <t>(04)23274275</t>
        </is>
      </c>
      <c r="I58" s="11" t="inlineStr">
        <is>
          <t>A1類</t>
        </is>
      </c>
      <c r="J58" s="11" t="inlineStr">
        <is>
          <t>Category A1</t>
        </is>
      </c>
      <c r="K58" s="27" t="inlineStr">
        <is>
          <t>1</t>
        </is>
      </c>
      <c r="L58" s="27" t="inlineStr">
        <is>
          <t>1</t>
        </is>
      </c>
      <c r="M58" s="27" t="inlineStr">
        <is>
          <t>1</t>
        </is>
      </c>
      <c r="N58" s="11" t="inlineStr"/>
    </row>
    <row r="59" ht="20" customHeight="1">
      <c r="A59" s="4" t="n">
        <v>14</v>
      </c>
      <c r="B59" s="5" t="inlineStr">
        <is>
          <t>Taichung City Delivery Driver Traffic Accident Statistics - 2024 Q2 (ROC 113)</t>
        </is>
      </c>
      <c r="C59" s="5" t="inlineStr">
        <is>
          <t>113年第二季臺中市外送員交通事故統計</t>
        </is>
      </c>
      <c r="D59" s="6" t="inlineStr">
        <is>
          <t>ffd48cfb-e697-4af8-bea5-159832e961ca</t>
        </is>
      </c>
      <c r="E59" s="4" t="n">
        <v>3</v>
      </c>
      <c r="F59" s="6" t="inlineStr">
        <is>
          <t>3</t>
        </is>
      </c>
      <c r="G59" s="6" t="inlineStr">
        <is>
          <t>66000</t>
        </is>
      </c>
      <c r="H59" s="6" t="inlineStr">
        <is>
          <t>(04)23274275</t>
        </is>
      </c>
      <c r="I59" s="6" t="inlineStr">
        <is>
          <t>A2類</t>
        </is>
      </c>
      <c r="J59" s="6" t="inlineStr">
        <is>
          <t>Category A2</t>
        </is>
      </c>
      <c r="K59" s="26" t="inlineStr">
        <is>
          <t>314</t>
        </is>
      </c>
      <c r="L59" s="26" t="inlineStr">
        <is>
          <t>-</t>
        </is>
      </c>
      <c r="M59" s="26" t="inlineStr">
        <is>
          <t>431</t>
        </is>
      </c>
      <c r="N59" s="6" t="inlineStr"/>
    </row>
    <row r="60" ht="20" customHeight="1">
      <c r="A60" s="9" t="n">
        <v>14</v>
      </c>
      <c r="B60" s="10" t="inlineStr">
        <is>
          <t>Taichung City Delivery Driver Traffic Accident Statistics - 2024 Q2 (ROC 113)</t>
        </is>
      </c>
      <c r="C60" s="10" t="inlineStr">
        <is>
          <t>113年第二季臺中市外送員交通事故統計</t>
        </is>
      </c>
      <c r="D60" s="11" t="inlineStr">
        <is>
          <t>ffd48cfb-e697-4af8-bea5-159832e961ca</t>
        </is>
      </c>
      <c r="E60" s="9" t="n">
        <v>4</v>
      </c>
      <c r="F60" s="11" t="inlineStr">
        <is>
          <t>4</t>
        </is>
      </c>
      <c r="G60" s="11" t="inlineStr">
        <is>
          <t>66000</t>
        </is>
      </c>
      <c r="H60" s="11" t="inlineStr">
        <is>
          <t>(04)23274275</t>
        </is>
      </c>
      <c r="I60" s="11" t="inlineStr">
        <is>
          <t>A3類</t>
        </is>
      </c>
      <c r="J60" s="11" t="inlineStr">
        <is>
          <t>Category A3</t>
        </is>
      </c>
      <c r="K60" s="27" t="inlineStr">
        <is>
          <t>105</t>
        </is>
      </c>
      <c r="L60" s="27" t="inlineStr">
        <is>
          <t>-</t>
        </is>
      </c>
      <c r="M60" s="27" t="inlineStr">
        <is>
          <t>-</t>
        </is>
      </c>
      <c r="N60" s="11" t="inlineStr"/>
    </row>
    <row r="61" ht="20" customHeight="1">
      <c r="A61" s="4" t="n">
        <v>15</v>
      </c>
      <c r="B61" s="5" t="inlineStr">
        <is>
          <t>Taichung City Delivery Driver Traffic Accident Statistics - 2024 Q3 (ROC 113)</t>
        </is>
      </c>
      <c r="C61" s="5" t="inlineStr">
        <is>
          <t>113年第三季臺中市外送員交通事故統計</t>
        </is>
      </c>
      <c r="D61" s="6" t="inlineStr">
        <is>
          <t>b38b99b1-394b-4ebd-8536-6f9ec7cd4063</t>
        </is>
      </c>
      <c r="E61" s="4" t="n">
        <v>1</v>
      </c>
      <c r="F61" s="6" t="inlineStr">
        <is>
          <t>1</t>
        </is>
      </c>
      <c r="G61" s="6" t="inlineStr">
        <is>
          <t>66000</t>
        </is>
      </c>
      <c r="H61" s="6" t="inlineStr">
        <is>
          <t>(04)23274275</t>
        </is>
      </c>
      <c r="I61" s="6" t="inlineStr">
        <is>
          <t>總計</t>
        </is>
      </c>
      <c r="J61" s="6" t="inlineStr">
        <is>
          <t>Total</t>
        </is>
      </c>
      <c r="K61" s="26" t="inlineStr">
        <is>
          <t>479</t>
        </is>
      </c>
      <c r="L61" s="26" t="inlineStr">
        <is>
          <t>-</t>
        </is>
      </c>
      <c r="M61" s="26" t="inlineStr">
        <is>
          <t>493</t>
        </is>
      </c>
      <c r="N61" s="6" t="inlineStr"/>
    </row>
    <row r="62" ht="20" customHeight="1">
      <c r="A62" s="9" t="n">
        <v>15</v>
      </c>
      <c r="B62" s="10" t="inlineStr">
        <is>
          <t>Taichung City Delivery Driver Traffic Accident Statistics - 2024 Q3 (ROC 113)</t>
        </is>
      </c>
      <c r="C62" s="10" t="inlineStr">
        <is>
          <t>113年第三季臺中市外送員交通事故統計</t>
        </is>
      </c>
      <c r="D62" s="11" t="inlineStr">
        <is>
          <t>b38b99b1-394b-4ebd-8536-6f9ec7cd4063</t>
        </is>
      </c>
      <c r="E62" s="9" t="n">
        <v>2</v>
      </c>
      <c r="F62" s="11" t="inlineStr">
        <is>
          <t>2</t>
        </is>
      </c>
      <c r="G62" s="11" t="inlineStr">
        <is>
          <t>66000</t>
        </is>
      </c>
      <c r="H62" s="11" t="inlineStr">
        <is>
          <t>(04)23274275</t>
        </is>
      </c>
      <c r="I62" s="11" t="inlineStr">
        <is>
          <t>A1類</t>
        </is>
      </c>
      <c r="J62" s="11" t="inlineStr">
        <is>
          <t>Category A1</t>
        </is>
      </c>
      <c r="K62" s="27" t="inlineStr">
        <is>
          <t>-</t>
        </is>
      </c>
      <c r="L62" s="27" t="inlineStr">
        <is>
          <t>-</t>
        </is>
      </c>
      <c r="M62" s="27" t="inlineStr">
        <is>
          <t>-</t>
        </is>
      </c>
      <c r="N62" s="11" t="inlineStr"/>
    </row>
    <row r="63" ht="20" customHeight="1">
      <c r="A63" s="4" t="n">
        <v>15</v>
      </c>
      <c r="B63" s="5" t="inlineStr">
        <is>
          <t>Taichung City Delivery Driver Traffic Accident Statistics - 2024 Q3 (ROC 113)</t>
        </is>
      </c>
      <c r="C63" s="5" t="inlineStr">
        <is>
          <t>113年第三季臺中市外送員交通事故統計</t>
        </is>
      </c>
      <c r="D63" s="6" t="inlineStr">
        <is>
          <t>b38b99b1-394b-4ebd-8536-6f9ec7cd4063</t>
        </is>
      </c>
      <c r="E63" s="4" t="n">
        <v>3</v>
      </c>
      <c r="F63" s="6" t="inlineStr">
        <is>
          <t>3</t>
        </is>
      </c>
      <c r="G63" s="6" t="inlineStr">
        <is>
          <t>66000</t>
        </is>
      </c>
      <c r="H63" s="6" t="inlineStr">
        <is>
          <t>(04)23274275</t>
        </is>
      </c>
      <c r="I63" s="6" t="inlineStr">
        <is>
          <t>A2類</t>
        </is>
      </c>
      <c r="J63" s="6" t="inlineStr">
        <is>
          <t>Category A2</t>
        </is>
      </c>
      <c r="K63" s="26" t="inlineStr">
        <is>
          <t>356</t>
        </is>
      </c>
      <c r="L63" s="26" t="inlineStr">
        <is>
          <t>-</t>
        </is>
      </c>
      <c r="M63" s="26" t="inlineStr">
        <is>
          <t>493</t>
        </is>
      </c>
      <c r="N63" s="6" t="inlineStr"/>
    </row>
    <row r="64" ht="20" customHeight="1">
      <c r="A64" s="9" t="n">
        <v>15</v>
      </c>
      <c r="B64" s="10" t="inlineStr">
        <is>
          <t>Taichung City Delivery Driver Traffic Accident Statistics - 2024 Q3 (ROC 113)</t>
        </is>
      </c>
      <c r="C64" s="10" t="inlineStr">
        <is>
          <t>113年第三季臺中市外送員交通事故統計</t>
        </is>
      </c>
      <c r="D64" s="11" t="inlineStr">
        <is>
          <t>b38b99b1-394b-4ebd-8536-6f9ec7cd4063</t>
        </is>
      </c>
      <c r="E64" s="9" t="n">
        <v>4</v>
      </c>
      <c r="F64" s="11" t="inlineStr">
        <is>
          <t>4</t>
        </is>
      </c>
      <c r="G64" s="11" t="inlineStr">
        <is>
          <t>66000</t>
        </is>
      </c>
      <c r="H64" s="11" t="inlineStr">
        <is>
          <t>(04)23274275</t>
        </is>
      </c>
      <c r="I64" s="11" t="inlineStr">
        <is>
          <t>A3類</t>
        </is>
      </c>
      <c r="J64" s="11" t="inlineStr">
        <is>
          <t>Category A3</t>
        </is>
      </c>
      <c r="K64" s="27" t="inlineStr">
        <is>
          <t>123</t>
        </is>
      </c>
      <c r="L64" s="27" t="inlineStr">
        <is>
          <t>-</t>
        </is>
      </c>
      <c r="M64" s="27" t="inlineStr">
        <is>
          <t>-</t>
        </is>
      </c>
      <c r="N64" s="11" t="inlineStr"/>
    </row>
    <row r="65" ht="20" customHeight="1">
      <c r="A65" s="4" t="n">
        <v>16</v>
      </c>
      <c r="B65" s="5" t="inlineStr">
        <is>
          <t>Taichung City Delivery Driver Traffic Accident Statistics - 2024 Q4 (ROC 113)</t>
        </is>
      </c>
      <c r="C65" s="5" t="inlineStr">
        <is>
          <t>113年第四季臺中市外送員交通事故統計</t>
        </is>
      </c>
      <c r="D65" s="6" t="inlineStr">
        <is>
          <t>5f6a6be8-63d4-456f-992f-b7245a851025</t>
        </is>
      </c>
      <c r="E65" s="4" t="n">
        <v>1</v>
      </c>
      <c r="F65" s="6" t="inlineStr">
        <is>
          <t>1</t>
        </is>
      </c>
      <c r="G65" s="6" t="inlineStr">
        <is>
          <t>66000</t>
        </is>
      </c>
      <c r="H65" s="6" t="inlineStr">
        <is>
          <t>(04)23274275</t>
        </is>
      </c>
      <c r="I65" s="6" t="inlineStr">
        <is>
          <t>總計</t>
        </is>
      </c>
      <c r="J65" s="6" t="inlineStr">
        <is>
          <t>Total</t>
        </is>
      </c>
      <c r="K65" s="26" t="inlineStr">
        <is>
          <t>465</t>
        </is>
      </c>
      <c r="L65" s="26" t="inlineStr">
        <is>
          <t>0</t>
        </is>
      </c>
      <c r="M65" s="26" t="inlineStr">
        <is>
          <t>513</t>
        </is>
      </c>
      <c r="N65" s="6" t="inlineStr"/>
    </row>
    <row r="66" ht="20" customHeight="1">
      <c r="A66" s="9" t="n">
        <v>16</v>
      </c>
      <c r="B66" s="10" t="inlineStr">
        <is>
          <t>Taichung City Delivery Driver Traffic Accident Statistics - 2024 Q4 (ROC 113)</t>
        </is>
      </c>
      <c r="C66" s="10" t="inlineStr">
        <is>
          <t>113年第四季臺中市外送員交通事故統計</t>
        </is>
      </c>
      <c r="D66" s="11" t="inlineStr">
        <is>
          <t>5f6a6be8-63d4-456f-992f-b7245a851025</t>
        </is>
      </c>
      <c r="E66" s="9" t="n">
        <v>2</v>
      </c>
      <c r="F66" s="11" t="inlineStr">
        <is>
          <t>2</t>
        </is>
      </c>
      <c r="G66" s="11" t="inlineStr">
        <is>
          <t>66000</t>
        </is>
      </c>
      <c r="H66" s="11" t="inlineStr">
        <is>
          <t>(04)23274275</t>
        </is>
      </c>
      <c r="I66" s="11" t="inlineStr">
        <is>
          <t>A1類</t>
        </is>
      </c>
      <c r="J66" s="11" t="inlineStr">
        <is>
          <t>Category A1</t>
        </is>
      </c>
      <c r="K66" s="27" t="inlineStr">
        <is>
          <t>0</t>
        </is>
      </c>
      <c r="L66" s="27" t="inlineStr">
        <is>
          <t>0</t>
        </is>
      </c>
      <c r="M66" s="27" t="inlineStr">
        <is>
          <t>0</t>
        </is>
      </c>
      <c r="N66" s="11" t="inlineStr"/>
    </row>
    <row r="67" ht="20" customHeight="1">
      <c r="A67" s="4" t="n">
        <v>16</v>
      </c>
      <c r="B67" s="5" t="inlineStr">
        <is>
          <t>Taichung City Delivery Driver Traffic Accident Statistics - 2024 Q4 (ROC 113)</t>
        </is>
      </c>
      <c r="C67" s="5" t="inlineStr">
        <is>
          <t>113年第四季臺中市外送員交通事故統計</t>
        </is>
      </c>
      <c r="D67" s="6" t="inlineStr">
        <is>
          <t>5f6a6be8-63d4-456f-992f-b7245a851025</t>
        </is>
      </c>
      <c r="E67" s="4" t="n">
        <v>3</v>
      </c>
      <c r="F67" s="6" t="inlineStr">
        <is>
          <t>3</t>
        </is>
      </c>
      <c r="G67" s="6" t="inlineStr">
        <is>
          <t>66000</t>
        </is>
      </c>
      <c r="H67" s="6" t="inlineStr">
        <is>
          <t>(04)23274275</t>
        </is>
      </c>
      <c r="I67" s="6" t="inlineStr">
        <is>
          <t>A2類</t>
        </is>
      </c>
      <c r="J67" s="6" t="inlineStr">
        <is>
          <t>Category A2</t>
        </is>
      </c>
      <c r="K67" s="26" t="inlineStr">
        <is>
          <t>369</t>
        </is>
      </c>
      <c r="L67" s="26" t="inlineStr">
        <is>
          <t>0</t>
        </is>
      </c>
      <c r="M67" s="26" t="inlineStr">
        <is>
          <t>513</t>
        </is>
      </c>
      <c r="N67" s="6" t="inlineStr"/>
    </row>
    <row r="68" ht="20" customHeight="1">
      <c r="A68" s="9" t="n">
        <v>16</v>
      </c>
      <c r="B68" s="10" t="inlineStr">
        <is>
          <t>Taichung City Delivery Driver Traffic Accident Statistics - 2024 Q4 (ROC 113)</t>
        </is>
      </c>
      <c r="C68" s="10" t="inlineStr">
        <is>
          <t>113年第四季臺中市外送員交通事故統計</t>
        </is>
      </c>
      <c r="D68" s="11" t="inlineStr">
        <is>
          <t>5f6a6be8-63d4-456f-992f-b7245a851025</t>
        </is>
      </c>
      <c r="E68" s="9" t="n">
        <v>4</v>
      </c>
      <c r="F68" s="11" t="inlineStr">
        <is>
          <t>4</t>
        </is>
      </c>
      <c r="G68" s="11" t="inlineStr">
        <is>
          <t>66000</t>
        </is>
      </c>
      <c r="H68" s="11" t="inlineStr">
        <is>
          <t>(04)23274275</t>
        </is>
      </c>
      <c r="I68" s="11" t="inlineStr">
        <is>
          <t>A3類</t>
        </is>
      </c>
      <c r="J68" s="11" t="inlineStr">
        <is>
          <t>Category A3</t>
        </is>
      </c>
      <c r="K68" s="27" t="inlineStr">
        <is>
          <t>96</t>
        </is>
      </c>
      <c r="L68" s="27" t="inlineStr">
        <is>
          <t>0</t>
        </is>
      </c>
      <c r="M68" s="27" t="inlineStr">
        <is>
          <t>0</t>
        </is>
      </c>
      <c r="N68" s="11" t="inlineStr"/>
    </row>
    <row r="69" ht="20" customHeight="1">
      <c r="A69" s="4" t="n">
        <v>17</v>
      </c>
      <c r="B69" s="5" t="inlineStr">
        <is>
          <t>Taichung City Delivery Driver Traffic Accident Statistics - 2024 All Quarters (ROC 113)</t>
        </is>
      </c>
      <c r="C69" s="5" t="inlineStr">
        <is>
          <t>臺中市113各季外送員交通事故統計</t>
        </is>
      </c>
      <c r="D69" s="6" t="inlineStr">
        <is>
          <t>be7ac5ea-d63c-44c7-844f-b393774fa49d</t>
        </is>
      </c>
      <c r="E69" s="4" t="n">
        <v>1</v>
      </c>
      <c r="F69" s="6" t="inlineStr">
        <is>
          <t>1</t>
        </is>
      </c>
      <c r="G69" s="6" t="inlineStr">
        <is>
          <t>66000</t>
        </is>
      </c>
      <c r="H69" s="6" t="inlineStr">
        <is>
          <t>(04)23274275</t>
        </is>
      </c>
      <c r="I69" s="6" t="inlineStr">
        <is>
          <t>總計</t>
        </is>
      </c>
      <c r="J69" s="6" t="inlineStr">
        <is>
          <t>Total</t>
        </is>
      </c>
      <c r="K69" s="26" t="inlineStr">
        <is>
          <t>569</t>
        </is>
      </c>
      <c r="L69" s="26" t="inlineStr">
        <is>
          <t>0</t>
        </is>
      </c>
      <c r="M69" s="26" t="inlineStr">
        <is>
          <t>594</t>
        </is>
      </c>
      <c r="N69" s="6" t="inlineStr">
        <is>
          <t>2024 Q1 (ROC 113)</t>
        </is>
      </c>
    </row>
    <row r="70" ht="20" customHeight="1">
      <c r="A70" s="9" t="n">
        <v>17</v>
      </c>
      <c r="B70" s="10" t="inlineStr">
        <is>
          <t>Taichung City Delivery Driver Traffic Accident Statistics - 2024 All Quarters (ROC 113)</t>
        </is>
      </c>
      <c r="C70" s="10" t="inlineStr">
        <is>
          <t>臺中市113各季外送員交通事故統計</t>
        </is>
      </c>
      <c r="D70" s="11" t="inlineStr">
        <is>
          <t>be7ac5ea-d63c-44c7-844f-b393774fa49d</t>
        </is>
      </c>
      <c r="E70" s="9" t="n">
        <v>2</v>
      </c>
      <c r="F70" s="11" t="inlineStr">
        <is>
          <t>2</t>
        </is>
      </c>
      <c r="G70" s="11" t="inlineStr">
        <is>
          <t>66000</t>
        </is>
      </c>
      <c r="H70" s="11" t="inlineStr">
        <is>
          <t>(04)23274275</t>
        </is>
      </c>
      <c r="I70" s="11" t="inlineStr">
        <is>
          <t>A1類</t>
        </is>
      </c>
      <c r="J70" s="11" t="inlineStr">
        <is>
          <t>Category A1</t>
        </is>
      </c>
      <c r="K70" s="27" t="inlineStr">
        <is>
          <t>0</t>
        </is>
      </c>
      <c r="L70" s="27" t="inlineStr">
        <is>
          <t>0</t>
        </is>
      </c>
      <c r="M70" s="27" t="inlineStr">
        <is>
          <t>0</t>
        </is>
      </c>
      <c r="N70" s="11" t="inlineStr">
        <is>
          <t>2024 Q1 (ROC 113)</t>
        </is>
      </c>
    </row>
    <row r="71" ht="20" customHeight="1">
      <c r="A71" s="4" t="n">
        <v>17</v>
      </c>
      <c r="B71" s="5" t="inlineStr">
        <is>
          <t>Taichung City Delivery Driver Traffic Accident Statistics - 2024 All Quarters (ROC 113)</t>
        </is>
      </c>
      <c r="C71" s="5" t="inlineStr">
        <is>
          <t>臺中市113各季外送員交通事故統計</t>
        </is>
      </c>
      <c r="D71" s="6" t="inlineStr">
        <is>
          <t>be7ac5ea-d63c-44c7-844f-b393774fa49d</t>
        </is>
      </c>
      <c r="E71" s="4" t="n">
        <v>3</v>
      </c>
      <c r="F71" s="6" t="inlineStr">
        <is>
          <t>3</t>
        </is>
      </c>
      <c r="G71" s="6" t="inlineStr">
        <is>
          <t>66000</t>
        </is>
      </c>
      <c r="H71" s="6" t="inlineStr">
        <is>
          <t>(04)23274275</t>
        </is>
      </c>
      <c r="I71" s="6" t="inlineStr">
        <is>
          <t>A2類</t>
        </is>
      </c>
      <c r="J71" s="6" t="inlineStr">
        <is>
          <t>Category A2</t>
        </is>
      </c>
      <c r="K71" s="26" t="inlineStr">
        <is>
          <t>429</t>
        </is>
      </c>
      <c r="L71" s="26" t="inlineStr">
        <is>
          <t>0</t>
        </is>
      </c>
      <c r="M71" s="26" t="inlineStr">
        <is>
          <t>594</t>
        </is>
      </c>
      <c r="N71" s="6" t="inlineStr">
        <is>
          <t>2024 Q1 (ROC 113)</t>
        </is>
      </c>
    </row>
    <row r="72" ht="20" customHeight="1">
      <c r="A72" s="9" t="n">
        <v>17</v>
      </c>
      <c r="B72" s="10" t="inlineStr">
        <is>
          <t>Taichung City Delivery Driver Traffic Accident Statistics - 2024 All Quarters (ROC 113)</t>
        </is>
      </c>
      <c r="C72" s="10" t="inlineStr">
        <is>
          <t>臺中市113各季外送員交通事故統計</t>
        </is>
      </c>
      <c r="D72" s="11" t="inlineStr">
        <is>
          <t>be7ac5ea-d63c-44c7-844f-b393774fa49d</t>
        </is>
      </c>
      <c r="E72" s="9" t="n">
        <v>4</v>
      </c>
      <c r="F72" s="11" t="inlineStr">
        <is>
          <t>4</t>
        </is>
      </c>
      <c r="G72" s="11" t="inlineStr">
        <is>
          <t>66000</t>
        </is>
      </c>
      <c r="H72" s="11" t="inlineStr">
        <is>
          <t>(04)23274275</t>
        </is>
      </c>
      <c r="I72" s="11" t="inlineStr">
        <is>
          <t>A3類</t>
        </is>
      </c>
      <c r="J72" s="11" t="inlineStr">
        <is>
          <t>Category A3</t>
        </is>
      </c>
      <c r="K72" s="27" t="inlineStr">
        <is>
          <t>140</t>
        </is>
      </c>
      <c r="L72" s="27" t="inlineStr">
        <is>
          <t>0</t>
        </is>
      </c>
      <c r="M72" s="27" t="inlineStr">
        <is>
          <t>0</t>
        </is>
      </c>
      <c r="N72" s="11" t="inlineStr">
        <is>
          <t>2024 Q1 (ROC 113)</t>
        </is>
      </c>
    </row>
    <row r="73" ht="20" customHeight="1">
      <c r="A73" s="4" t="n">
        <v>17</v>
      </c>
      <c r="B73" s="5" t="inlineStr">
        <is>
          <t>Taichung City Delivery Driver Traffic Accident Statistics - 2024 All Quarters (ROC 113)</t>
        </is>
      </c>
      <c r="C73" s="5" t="inlineStr">
        <is>
          <t>臺中市113各季外送員交通事故統計</t>
        </is>
      </c>
      <c r="D73" s="6" t="inlineStr">
        <is>
          <t>be7ac5ea-d63c-44c7-844f-b393774fa49d</t>
        </is>
      </c>
      <c r="E73" s="4" t="n">
        <v>5</v>
      </c>
      <c r="F73" s="6" t="inlineStr">
        <is>
          <t>5</t>
        </is>
      </c>
      <c r="G73" s="6" t="inlineStr">
        <is>
          <t>66000</t>
        </is>
      </c>
      <c r="H73" s="6" t="inlineStr">
        <is>
          <t>(04)23274275</t>
        </is>
      </c>
      <c r="I73" s="6" t="inlineStr">
        <is>
          <t>總計</t>
        </is>
      </c>
      <c r="J73" s="6" t="inlineStr">
        <is>
          <t>Total</t>
        </is>
      </c>
      <c r="K73" s="26" t="inlineStr">
        <is>
          <t>420</t>
        </is>
      </c>
      <c r="L73" s="26" t="inlineStr">
        <is>
          <t>1</t>
        </is>
      </c>
      <c r="M73" s="26" t="inlineStr">
        <is>
          <t>432</t>
        </is>
      </c>
      <c r="N73" s="6" t="inlineStr">
        <is>
          <t>2024 Q2 (ROC 113)</t>
        </is>
      </c>
    </row>
    <row r="74" ht="20" customHeight="1">
      <c r="A74" s="9" t="n">
        <v>17</v>
      </c>
      <c r="B74" s="10" t="inlineStr">
        <is>
          <t>Taichung City Delivery Driver Traffic Accident Statistics - 2024 All Quarters (ROC 113)</t>
        </is>
      </c>
      <c r="C74" s="10" t="inlineStr">
        <is>
          <t>臺中市113各季外送員交通事故統計</t>
        </is>
      </c>
      <c r="D74" s="11" t="inlineStr">
        <is>
          <t>be7ac5ea-d63c-44c7-844f-b393774fa49d</t>
        </is>
      </c>
      <c r="E74" s="9" t="n">
        <v>6</v>
      </c>
      <c r="F74" s="11" t="inlineStr">
        <is>
          <t>6</t>
        </is>
      </c>
      <c r="G74" s="11" t="inlineStr">
        <is>
          <t>66000</t>
        </is>
      </c>
      <c r="H74" s="11" t="inlineStr">
        <is>
          <t>(04)23274275</t>
        </is>
      </c>
      <c r="I74" s="11" t="inlineStr">
        <is>
          <t>A1類</t>
        </is>
      </c>
      <c r="J74" s="11" t="inlineStr">
        <is>
          <t>Category A1</t>
        </is>
      </c>
      <c r="K74" s="27" t="inlineStr">
        <is>
          <t>1</t>
        </is>
      </c>
      <c r="L74" s="27" t="inlineStr">
        <is>
          <t>1</t>
        </is>
      </c>
      <c r="M74" s="27" t="inlineStr">
        <is>
          <t>1</t>
        </is>
      </c>
      <c r="N74" s="11" t="inlineStr">
        <is>
          <t>2024 Q2 (ROC 113)</t>
        </is>
      </c>
    </row>
    <row r="75" ht="20" customHeight="1">
      <c r="A75" s="4" t="n">
        <v>17</v>
      </c>
      <c r="B75" s="5" t="inlineStr">
        <is>
          <t>Taichung City Delivery Driver Traffic Accident Statistics - 2024 All Quarters (ROC 113)</t>
        </is>
      </c>
      <c r="C75" s="5" t="inlineStr">
        <is>
          <t>臺中市113各季外送員交通事故統計</t>
        </is>
      </c>
      <c r="D75" s="6" t="inlineStr">
        <is>
          <t>be7ac5ea-d63c-44c7-844f-b393774fa49d</t>
        </is>
      </c>
      <c r="E75" s="4" t="n">
        <v>7</v>
      </c>
      <c r="F75" s="6" t="inlineStr">
        <is>
          <t>7</t>
        </is>
      </c>
      <c r="G75" s="6" t="inlineStr">
        <is>
          <t>66000</t>
        </is>
      </c>
      <c r="H75" s="6" t="inlineStr">
        <is>
          <t>(04)23274275</t>
        </is>
      </c>
      <c r="I75" s="6" t="inlineStr">
        <is>
          <t>A2類</t>
        </is>
      </c>
      <c r="J75" s="6" t="inlineStr">
        <is>
          <t>Category A2</t>
        </is>
      </c>
      <c r="K75" s="26" t="inlineStr">
        <is>
          <t>314</t>
        </is>
      </c>
      <c r="L75" s="26" t="inlineStr">
        <is>
          <t>0</t>
        </is>
      </c>
      <c r="M75" s="26" t="inlineStr">
        <is>
          <t>431</t>
        </is>
      </c>
      <c r="N75" s="6" t="inlineStr">
        <is>
          <t>2024 Q2 (ROC 113)</t>
        </is>
      </c>
    </row>
    <row r="76" ht="20" customHeight="1">
      <c r="A76" s="9" t="n">
        <v>17</v>
      </c>
      <c r="B76" s="10" t="inlineStr">
        <is>
          <t>Taichung City Delivery Driver Traffic Accident Statistics - 2024 All Quarters (ROC 113)</t>
        </is>
      </c>
      <c r="C76" s="10" t="inlineStr">
        <is>
          <t>臺中市113各季外送員交通事故統計</t>
        </is>
      </c>
      <c r="D76" s="11" t="inlineStr">
        <is>
          <t>be7ac5ea-d63c-44c7-844f-b393774fa49d</t>
        </is>
      </c>
      <c r="E76" s="9" t="n">
        <v>8</v>
      </c>
      <c r="F76" s="11" t="inlineStr">
        <is>
          <t>8</t>
        </is>
      </c>
      <c r="G76" s="11" t="inlineStr">
        <is>
          <t>66000</t>
        </is>
      </c>
      <c r="H76" s="11" t="inlineStr">
        <is>
          <t>(04)23274275</t>
        </is>
      </c>
      <c r="I76" s="11" t="inlineStr">
        <is>
          <t>A3類</t>
        </is>
      </c>
      <c r="J76" s="11" t="inlineStr">
        <is>
          <t>Category A3</t>
        </is>
      </c>
      <c r="K76" s="27" t="inlineStr">
        <is>
          <t>105</t>
        </is>
      </c>
      <c r="L76" s="27" t="inlineStr">
        <is>
          <t>0</t>
        </is>
      </c>
      <c r="M76" s="27" t="inlineStr">
        <is>
          <t>0</t>
        </is>
      </c>
      <c r="N76" s="11" t="inlineStr">
        <is>
          <t>2024 Q2 (ROC 113)</t>
        </is>
      </c>
    </row>
    <row r="77" ht="20" customHeight="1">
      <c r="A77" s="4" t="n">
        <v>17</v>
      </c>
      <c r="B77" s="5" t="inlineStr">
        <is>
          <t>Taichung City Delivery Driver Traffic Accident Statistics - 2024 All Quarters (ROC 113)</t>
        </is>
      </c>
      <c r="C77" s="5" t="inlineStr">
        <is>
          <t>臺中市113各季外送員交通事故統計</t>
        </is>
      </c>
      <c r="D77" s="6" t="inlineStr">
        <is>
          <t>be7ac5ea-d63c-44c7-844f-b393774fa49d</t>
        </is>
      </c>
      <c r="E77" s="4" t="n">
        <v>9</v>
      </c>
      <c r="F77" s="6" t="inlineStr">
        <is>
          <t>9</t>
        </is>
      </c>
      <c r="G77" s="6" t="inlineStr">
        <is>
          <t>66000</t>
        </is>
      </c>
      <c r="H77" s="6" t="inlineStr">
        <is>
          <t>(04)23274275</t>
        </is>
      </c>
      <c r="I77" s="6" t="inlineStr">
        <is>
          <t>總計</t>
        </is>
      </c>
      <c r="J77" s="6" t="inlineStr">
        <is>
          <t>Total</t>
        </is>
      </c>
      <c r="K77" s="26" t="inlineStr">
        <is>
          <t>479</t>
        </is>
      </c>
      <c r="L77" s="26" t="inlineStr">
        <is>
          <t>0</t>
        </is>
      </c>
      <c r="M77" s="26" t="inlineStr">
        <is>
          <t>493</t>
        </is>
      </c>
      <c r="N77" s="6" t="inlineStr">
        <is>
          <t>2024 Q3 (ROC 113)</t>
        </is>
      </c>
    </row>
    <row r="78" ht="20" customHeight="1">
      <c r="A78" s="9" t="n">
        <v>17</v>
      </c>
      <c r="B78" s="10" t="inlineStr">
        <is>
          <t>Taichung City Delivery Driver Traffic Accident Statistics - 2024 All Quarters (ROC 113)</t>
        </is>
      </c>
      <c r="C78" s="10" t="inlineStr">
        <is>
          <t>臺中市113各季外送員交通事故統計</t>
        </is>
      </c>
      <c r="D78" s="11" t="inlineStr">
        <is>
          <t>be7ac5ea-d63c-44c7-844f-b393774fa49d</t>
        </is>
      </c>
      <c r="E78" s="9" t="n">
        <v>10</v>
      </c>
      <c r="F78" s="11" t="inlineStr">
        <is>
          <t>10</t>
        </is>
      </c>
      <c r="G78" s="11" t="inlineStr">
        <is>
          <t>66000</t>
        </is>
      </c>
      <c r="H78" s="11" t="inlineStr">
        <is>
          <t>(04)23274275</t>
        </is>
      </c>
      <c r="I78" s="11" t="inlineStr">
        <is>
          <t>A1類</t>
        </is>
      </c>
      <c r="J78" s="11" t="inlineStr">
        <is>
          <t>Category A1</t>
        </is>
      </c>
      <c r="K78" s="27" t="inlineStr">
        <is>
          <t>0</t>
        </is>
      </c>
      <c r="L78" s="27" t="inlineStr">
        <is>
          <t>0</t>
        </is>
      </c>
      <c r="M78" s="27" t="inlineStr">
        <is>
          <t>0</t>
        </is>
      </c>
      <c r="N78" s="11" t="inlineStr">
        <is>
          <t>2024 Q3 (ROC 113)</t>
        </is>
      </c>
    </row>
    <row r="79" ht="20" customHeight="1">
      <c r="A79" s="4" t="n">
        <v>17</v>
      </c>
      <c r="B79" s="5" t="inlineStr">
        <is>
          <t>Taichung City Delivery Driver Traffic Accident Statistics - 2024 All Quarters (ROC 113)</t>
        </is>
      </c>
      <c r="C79" s="5" t="inlineStr">
        <is>
          <t>臺中市113各季外送員交通事故統計</t>
        </is>
      </c>
      <c r="D79" s="6" t="inlineStr">
        <is>
          <t>be7ac5ea-d63c-44c7-844f-b393774fa49d</t>
        </is>
      </c>
      <c r="E79" s="4" t="n">
        <v>11</v>
      </c>
      <c r="F79" s="6" t="inlineStr">
        <is>
          <t>11</t>
        </is>
      </c>
      <c r="G79" s="6" t="inlineStr">
        <is>
          <t>66000</t>
        </is>
      </c>
      <c r="H79" s="6" t="inlineStr">
        <is>
          <t>(04)23274275</t>
        </is>
      </c>
      <c r="I79" s="6" t="inlineStr">
        <is>
          <t>A2類</t>
        </is>
      </c>
      <c r="J79" s="6" t="inlineStr">
        <is>
          <t>Category A2</t>
        </is>
      </c>
      <c r="K79" s="26" t="inlineStr">
        <is>
          <t>356</t>
        </is>
      </c>
      <c r="L79" s="26" t="inlineStr">
        <is>
          <t>0</t>
        </is>
      </c>
      <c r="M79" s="26" t="inlineStr">
        <is>
          <t>493</t>
        </is>
      </c>
      <c r="N79" s="6" t="inlineStr">
        <is>
          <t>2024 Q3 (ROC 113)</t>
        </is>
      </c>
    </row>
    <row r="80" ht="20" customHeight="1">
      <c r="A80" s="9" t="n">
        <v>17</v>
      </c>
      <c r="B80" s="10" t="inlineStr">
        <is>
          <t>Taichung City Delivery Driver Traffic Accident Statistics - 2024 All Quarters (ROC 113)</t>
        </is>
      </c>
      <c r="C80" s="10" t="inlineStr">
        <is>
          <t>臺中市113各季外送員交通事故統計</t>
        </is>
      </c>
      <c r="D80" s="11" t="inlineStr">
        <is>
          <t>be7ac5ea-d63c-44c7-844f-b393774fa49d</t>
        </is>
      </c>
      <c r="E80" s="9" t="n">
        <v>12</v>
      </c>
      <c r="F80" s="11" t="inlineStr">
        <is>
          <t>12</t>
        </is>
      </c>
      <c r="G80" s="11" t="inlineStr">
        <is>
          <t>66000</t>
        </is>
      </c>
      <c r="H80" s="11" t="inlineStr">
        <is>
          <t>(04)23274275</t>
        </is>
      </c>
      <c r="I80" s="11" t="inlineStr">
        <is>
          <t>A3類</t>
        </is>
      </c>
      <c r="J80" s="11" t="inlineStr">
        <is>
          <t>Category A3</t>
        </is>
      </c>
      <c r="K80" s="27" t="inlineStr">
        <is>
          <t>123</t>
        </is>
      </c>
      <c r="L80" s="27" t="inlineStr">
        <is>
          <t>0</t>
        </is>
      </c>
      <c r="M80" s="27" t="inlineStr">
        <is>
          <t>0</t>
        </is>
      </c>
      <c r="N80" s="11" t="inlineStr">
        <is>
          <t>2024 Q3 (ROC 113)</t>
        </is>
      </c>
    </row>
    <row r="81" ht="20" customHeight="1">
      <c r="A81" s="4" t="n">
        <v>17</v>
      </c>
      <c r="B81" s="5" t="inlineStr">
        <is>
          <t>Taichung City Delivery Driver Traffic Accident Statistics - 2024 All Quarters (ROC 113)</t>
        </is>
      </c>
      <c r="C81" s="5" t="inlineStr">
        <is>
          <t>臺中市113各季外送員交通事故統計</t>
        </is>
      </c>
      <c r="D81" s="6" t="inlineStr">
        <is>
          <t>be7ac5ea-d63c-44c7-844f-b393774fa49d</t>
        </is>
      </c>
      <c r="E81" s="4" t="n">
        <v>13</v>
      </c>
      <c r="F81" s="6" t="inlineStr">
        <is>
          <t>13</t>
        </is>
      </c>
      <c r="G81" s="6" t="inlineStr">
        <is>
          <t>66000</t>
        </is>
      </c>
      <c r="H81" s="6" t="inlineStr">
        <is>
          <t>(04)23274275</t>
        </is>
      </c>
      <c r="I81" s="6" t="inlineStr">
        <is>
          <t>總計</t>
        </is>
      </c>
      <c r="J81" s="6" t="inlineStr">
        <is>
          <t>Total</t>
        </is>
      </c>
      <c r="K81" s="26" t="inlineStr">
        <is>
          <t>465</t>
        </is>
      </c>
      <c r="L81" s="26" t="inlineStr">
        <is>
          <t>0</t>
        </is>
      </c>
      <c r="M81" s="26" t="inlineStr">
        <is>
          <t>513</t>
        </is>
      </c>
      <c r="N81" s="6" t="inlineStr">
        <is>
          <t>2024 Q4 (ROC 113)</t>
        </is>
      </c>
    </row>
    <row r="82" ht="20" customHeight="1">
      <c r="A82" s="9" t="n">
        <v>17</v>
      </c>
      <c r="B82" s="10" t="inlineStr">
        <is>
          <t>Taichung City Delivery Driver Traffic Accident Statistics - 2024 All Quarters (ROC 113)</t>
        </is>
      </c>
      <c r="C82" s="10" t="inlineStr">
        <is>
          <t>臺中市113各季外送員交通事故統計</t>
        </is>
      </c>
      <c r="D82" s="11" t="inlineStr">
        <is>
          <t>be7ac5ea-d63c-44c7-844f-b393774fa49d</t>
        </is>
      </c>
      <c r="E82" s="9" t="n">
        <v>14</v>
      </c>
      <c r="F82" s="11" t="inlineStr">
        <is>
          <t>14</t>
        </is>
      </c>
      <c r="G82" s="11" t="inlineStr">
        <is>
          <t>66000</t>
        </is>
      </c>
      <c r="H82" s="11" t="inlineStr">
        <is>
          <t>(04)23274275</t>
        </is>
      </c>
      <c r="I82" s="11" t="inlineStr">
        <is>
          <t>A1類</t>
        </is>
      </c>
      <c r="J82" s="11" t="inlineStr">
        <is>
          <t>Category A1</t>
        </is>
      </c>
      <c r="K82" s="27" t="inlineStr">
        <is>
          <t>0</t>
        </is>
      </c>
      <c r="L82" s="27" t="inlineStr">
        <is>
          <t>0</t>
        </is>
      </c>
      <c r="M82" s="27" t="inlineStr">
        <is>
          <t>0</t>
        </is>
      </c>
      <c r="N82" s="11" t="inlineStr">
        <is>
          <t>2024 Q4 (ROC 113)</t>
        </is>
      </c>
    </row>
    <row r="83" ht="20" customHeight="1">
      <c r="A83" s="4" t="n">
        <v>17</v>
      </c>
      <c r="B83" s="5" t="inlineStr">
        <is>
          <t>Taichung City Delivery Driver Traffic Accident Statistics - 2024 All Quarters (ROC 113)</t>
        </is>
      </c>
      <c r="C83" s="5" t="inlineStr">
        <is>
          <t>臺中市113各季外送員交通事故統計</t>
        </is>
      </c>
      <c r="D83" s="6" t="inlineStr">
        <is>
          <t>be7ac5ea-d63c-44c7-844f-b393774fa49d</t>
        </is>
      </c>
      <c r="E83" s="4" t="n">
        <v>15</v>
      </c>
      <c r="F83" s="6" t="inlineStr">
        <is>
          <t>15</t>
        </is>
      </c>
      <c r="G83" s="6" t="inlineStr">
        <is>
          <t>66000</t>
        </is>
      </c>
      <c r="H83" s="6" t="inlineStr">
        <is>
          <t>(04)23274275</t>
        </is>
      </c>
      <c r="I83" s="6" t="inlineStr">
        <is>
          <t>A2類</t>
        </is>
      </c>
      <c r="J83" s="6" t="inlineStr">
        <is>
          <t>Category A2</t>
        </is>
      </c>
      <c r="K83" s="26" t="inlineStr">
        <is>
          <t>369</t>
        </is>
      </c>
      <c r="L83" s="26" t="inlineStr">
        <is>
          <t>0</t>
        </is>
      </c>
      <c r="M83" s="26" t="inlineStr">
        <is>
          <t>513</t>
        </is>
      </c>
      <c r="N83" s="6" t="inlineStr">
        <is>
          <t>2024 Q4 (ROC 113)</t>
        </is>
      </c>
    </row>
    <row r="84" ht="20" customHeight="1">
      <c r="A84" s="9" t="n">
        <v>17</v>
      </c>
      <c r="B84" s="10" t="inlineStr">
        <is>
          <t>Taichung City Delivery Driver Traffic Accident Statistics - 2024 All Quarters (ROC 113)</t>
        </is>
      </c>
      <c r="C84" s="10" t="inlineStr">
        <is>
          <t>臺中市113各季外送員交通事故統計</t>
        </is>
      </c>
      <c r="D84" s="11" t="inlineStr">
        <is>
          <t>be7ac5ea-d63c-44c7-844f-b393774fa49d</t>
        </is>
      </c>
      <c r="E84" s="9" t="n">
        <v>16</v>
      </c>
      <c r="F84" s="11" t="inlineStr">
        <is>
          <t>16</t>
        </is>
      </c>
      <c r="G84" s="11" t="inlineStr">
        <is>
          <t>66000</t>
        </is>
      </c>
      <c r="H84" s="11" t="inlineStr">
        <is>
          <t>(04)23274275</t>
        </is>
      </c>
      <c r="I84" s="11" t="inlineStr">
        <is>
          <t>A3類</t>
        </is>
      </c>
      <c r="J84" s="11" t="inlineStr">
        <is>
          <t>Category A3</t>
        </is>
      </c>
      <c r="K84" s="27" t="inlineStr">
        <is>
          <t>96</t>
        </is>
      </c>
      <c r="L84" s="27" t="inlineStr">
        <is>
          <t>0</t>
        </is>
      </c>
      <c r="M84" s="27" t="inlineStr">
        <is>
          <t>0</t>
        </is>
      </c>
      <c r="N84" s="11" t="inlineStr">
        <is>
          <t>2024 Q4 (ROC 113)</t>
        </is>
      </c>
    </row>
  </sheetData>
  <autoFilter ref="A4:N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2026-09-30T01:43:08Z</dcterms:created>
  <dcterms:modified xsi:type="dcterms:W3CDTF">2026-09-30T01:43:08Z</dcterms:modified>
</cp:coreProperties>
</file>